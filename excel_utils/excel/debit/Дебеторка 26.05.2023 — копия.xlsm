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\\Fwgroup-1\e\FWG_working\Дебиторка\"/>
    </mc:Choice>
  </mc:AlternateContent>
  <bookViews>
    <workbookView xWindow="0" yWindow="0" windowWidth="23040" windowHeight="9036" tabRatio="448"/>
  </bookViews>
  <sheets>
    <sheet name="База" sheetId="2" r:id="rId1"/>
    <sheet name="Общие" sheetId="3" r:id="rId2"/>
  </sheets>
  <definedNames>
    <definedName name="Сардор1" localSheetId="1">SUMIFS(#REF!,#REF!,Общие!XFD1)/2</definedName>
    <definedName name="Сардор2" localSheetId="1">SUMIFS(#REF!,#REF!,Общие!XFC1)</definedName>
    <definedName name="Сардор2">SUMIFS(#REF!,#REF!,#REF!)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2" i="2" l="1"/>
  <c r="K22" i="2" l="1"/>
  <c r="B2" i="3" l="1"/>
  <c r="B1" i="2"/>
  <c r="M242" i="2" l="1"/>
  <c r="N242" i="2" s="1"/>
  <c r="M22" i="2"/>
  <c r="Q22" i="2" s="1"/>
  <c r="O242" i="2" l="1"/>
  <c r="P242" i="2" s="1"/>
  <c r="R242" i="2"/>
  <c r="Q242" i="2"/>
  <c r="R22" i="2"/>
  <c r="N22" i="2"/>
  <c r="O22" i="2"/>
  <c r="P22" i="2" s="1"/>
  <c r="C10" i="3" l="1"/>
  <c r="D10" i="3"/>
  <c r="C14" i="3"/>
  <c r="D14" i="3"/>
  <c r="C18" i="3"/>
  <c r="D18" i="3"/>
  <c r="C25" i="3"/>
  <c r="D25" i="3"/>
  <c r="C29" i="3"/>
  <c r="D29" i="3"/>
  <c r="C31" i="3"/>
  <c r="D31" i="3"/>
  <c r="E25" i="3" l="1"/>
  <c r="E29" i="3"/>
  <c r="E10" i="3"/>
  <c r="E31" i="3"/>
  <c r="E14" i="3"/>
  <c r="E18" i="3"/>
  <c r="K426" i="2" l="1"/>
  <c r="K439" i="2" l="1"/>
  <c r="K325" i="2" l="1"/>
  <c r="K266" i="2" l="1"/>
  <c r="M439" i="2" l="1"/>
  <c r="M426" i="2"/>
  <c r="M325" i="2"/>
  <c r="M266" i="2"/>
  <c r="N266" i="2" s="1"/>
  <c r="K48" i="2"/>
  <c r="O439" i="2" l="1"/>
  <c r="P439" i="2" s="1"/>
  <c r="N439" i="2"/>
  <c r="Q325" i="2"/>
  <c r="N325" i="2"/>
  <c r="R439" i="2"/>
  <c r="Q439" i="2"/>
  <c r="R426" i="2"/>
  <c r="P426" i="2"/>
  <c r="O426" i="2"/>
  <c r="Q426" i="2" s="1"/>
  <c r="N426" i="2"/>
  <c r="R325" i="2"/>
  <c r="O325" i="2"/>
  <c r="P325" i="2"/>
  <c r="Q266" i="2"/>
  <c r="O266" i="2"/>
  <c r="P266" i="2" s="1"/>
  <c r="R266" i="2"/>
  <c r="K310" i="2"/>
  <c r="K204" i="2"/>
  <c r="K448" i="2"/>
  <c r="K447" i="2"/>
  <c r="K320" i="2"/>
  <c r="K101" i="2" l="1"/>
  <c r="K100" i="2"/>
  <c r="K280" i="2" l="1"/>
  <c r="K401" i="2"/>
  <c r="M48" i="2" l="1"/>
  <c r="N48" i="2" s="1"/>
  <c r="K329" i="2"/>
  <c r="K168" i="2"/>
  <c r="O48" i="2" l="1"/>
  <c r="Q48" i="2" s="1"/>
  <c r="R48" i="2"/>
  <c r="M204" i="2"/>
  <c r="N204" i="2" s="1"/>
  <c r="M310" i="2"/>
  <c r="N310" i="2" s="1"/>
  <c r="M447" i="2"/>
  <c r="N447" i="2" s="1"/>
  <c r="M448" i="2"/>
  <c r="N448" i="2" s="1"/>
  <c r="M320" i="2"/>
  <c r="N320" i="2" s="1"/>
  <c r="M100" i="2"/>
  <c r="M101" i="2"/>
  <c r="N101" i="2" s="1"/>
  <c r="M401" i="2"/>
  <c r="N401" i="2" s="1"/>
  <c r="M280" i="2"/>
  <c r="N280" i="2" s="1"/>
  <c r="P48" i="2" l="1"/>
  <c r="R447" i="2"/>
  <c r="R204" i="2"/>
  <c r="O401" i="2"/>
  <c r="P401" i="2" s="1"/>
  <c r="O204" i="2"/>
  <c r="P204" i="2" s="1"/>
  <c r="Q204" i="2"/>
  <c r="O310" i="2"/>
  <c r="P310" i="2" s="1"/>
  <c r="Q310" i="2"/>
  <c r="R310" i="2"/>
  <c r="O447" i="2"/>
  <c r="P447" i="2" s="1"/>
  <c r="Q447" i="2"/>
  <c r="O448" i="2"/>
  <c r="P448" i="2" s="1"/>
  <c r="R448" i="2"/>
  <c r="Q448" i="2"/>
  <c r="Q320" i="2"/>
  <c r="O320" i="2"/>
  <c r="P320" i="2" s="1"/>
  <c r="R320" i="2"/>
  <c r="N100" i="2"/>
  <c r="R100" i="2"/>
  <c r="O100" i="2"/>
  <c r="P100" i="2" s="1"/>
  <c r="Q101" i="2"/>
  <c r="O101" i="2"/>
  <c r="P101" i="2" s="1"/>
  <c r="R101" i="2"/>
  <c r="R401" i="2"/>
  <c r="Q401" i="2"/>
  <c r="R280" i="2"/>
  <c r="Q280" i="2"/>
  <c r="O280" i="2"/>
  <c r="P280" i="2" s="1"/>
  <c r="M168" i="2"/>
  <c r="N168" i="2" s="1"/>
  <c r="M329" i="2"/>
  <c r="N329" i="2" s="1"/>
  <c r="K155" i="2"/>
  <c r="K341" i="2"/>
  <c r="Q100" i="2" l="1"/>
  <c r="Q168" i="2"/>
  <c r="R168" i="2"/>
  <c r="O168" i="2"/>
  <c r="P168" i="2" s="1"/>
  <c r="R329" i="2"/>
  <c r="Q329" i="2"/>
  <c r="O329" i="2"/>
  <c r="P329" i="2" s="1"/>
  <c r="K420" i="2"/>
  <c r="K79" i="2" l="1"/>
  <c r="K89" i="2" l="1"/>
  <c r="K72" i="2"/>
  <c r="K250" i="2" l="1"/>
  <c r="K268" i="2"/>
  <c r="K318" i="2" l="1"/>
  <c r="K270" i="2"/>
  <c r="K258" i="2"/>
  <c r="M215" i="2"/>
  <c r="N215" i="2" s="1"/>
  <c r="K215" i="2"/>
  <c r="M214" i="2"/>
  <c r="N214" i="2" s="1"/>
  <c r="K214" i="2"/>
  <c r="K213" i="2"/>
  <c r="K182" i="2"/>
  <c r="K158" i="2"/>
  <c r="K134" i="2"/>
  <c r="O214" i="2" l="1"/>
  <c r="P214" i="2" s="1"/>
  <c r="R214" i="2"/>
  <c r="Q215" i="2"/>
  <c r="R215" i="2"/>
  <c r="Q214" i="2"/>
  <c r="O215" i="2"/>
  <c r="P215" i="2" s="1"/>
  <c r="K63" i="2"/>
  <c r="K302" i="2" l="1"/>
  <c r="K301" i="2"/>
  <c r="K300" i="2"/>
  <c r="K299" i="2"/>
  <c r="K298" i="2"/>
  <c r="K297" i="2"/>
  <c r="K111" i="2"/>
  <c r="K110" i="2"/>
  <c r="K109" i="2"/>
  <c r="K224" i="2" l="1"/>
  <c r="K68" i="2"/>
  <c r="K33" i="2" l="1"/>
  <c r="K313" i="2" l="1"/>
  <c r="K11" i="2" l="1"/>
  <c r="K34" i="2"/>
  <c r="M155" i="2" l="1"/>
  <c r="N155" i="2" s="1"/>
  <c r="O155" i="2" l="1"/>
  <c r="Q155" i="2" s="1"/>
  <c r="R155" i="2"/>
  <c r="M420" i="2"/>
  <c r="M341" i="2"/>
  <c r="N341" i="2" s="1"/>
  <c r="M79" i="2"/>
  <c r="M72" i="2"/>
  <c r="M89" i="2"/>
  <c r="N89" i="2" s="1"/>
  <c r="M268" i="2"/>
  <c r="M250" i="2"/>
  <c r="N250" i="2" s="1"/>
  <c r="M318" i="2"/>
  <c r="M258" i="2"/>
  <c r="R258" i="2" s="1"/>
  <c r="M270" i="2"/>
  <c r="M213" i="2"/>
  <c r="N213" i="2" s="1"/>
  <c r="M182" i="2"/>
  <c r="M134" i="2"/>
  <c r="R134" i="2" s="1"/>
  <c r="M158" i="2"/>
  <c r="M63" i="2"/>
  <c r="N63" i="2" s="1"/>
  <c r="M300" i="2"/>
  <c r="M302" i="2"/>
  <c r="N302" i="2" s="1"/>
  <c r="M301" i="2"/>
  <c r="M299" i="2"/>
  <c r="M109" i="2"/>
  <c r="R109" i="2" s="1"/>
  <c r="M298" i="2"/>
  <c r="M297" i="2"/>
  <c r="M111" i="2"/>
  <c r="N111" i="2" s="1"/>
  <c r="M110" i="2"/>
  <c r="N110" i="2" s="1"/>
  <c r="M68" i="2"/>
  <c r="O68" i="2" s="1"/>
  <c r="P68" i="2" s="1"/>
  <c r="M224" i="2"/>
  <c r="N224" i="2" s="1"/>
  <c r="M33" i="2"/>
  <c r="N33" i="2" s="1"/>
  <c r="M313" i="2"/>
  <c r="M11" i="2"/>
  <c r="M34" i="2"/>
  <c r="N34" i="2" s="1"/>
  <c r="K264" i="2"/>
  <c r="K382" i="2"/>
  <c r="P155" i="2" l="1"/>
  <c r="R420" i="2"/>
  <c r="N420" i="2"/>
  <c r="R313" i="2"/>
  <c r="N313" i="2"/>
  <c r="Q268" i="2"/>
  <c r="N268" i="2"/>
  <c r="Q79" i="2"/>
  <c r="N79" i="2"/>
  <c r="N72" i="2"/>
  <c r="O11" i="2"/>
  <c r="P11" i="2" s="1"/>
  <c r="N11" i="2"/>
  <c r="O420" i="2"/>
  <c r="P420" i="2" s="1"/>
  <c r="Q420" i="2"/>
  <c r="O341" i="2"/>
  <c r="P341" i="2" s="1"/>
  <c r="R341" i="2"/>
  <c r="Q341" i="2"/>
  <c r="O79" i="2"/>
  <c r="P79" i="2" s="1"/>
  <c r="R79" i="2"/>
  <c r="O72" i="2"/>
  <c r="R72" i="2"/>
  <c r="Q72" i="2"/>
  <c r="R89" i="2"/>
  <c r="Q89" i="2"/>
  <c r="O89" i="2"/>
  <c r="P89" i="2" s="1"/>
  <c r="O268" i="2"/>
  <c r="P268" i="2" s="1"/>
  <c r="R268" i="2"/>
  <c r="O250" i="2"/>
  <c r="P250" i="2" s="1"/>
  <c r="R250" i="2"/>
  <c r="Q250" i="2"/>
  <c r="R318" i="2"/>
  <c r="N318" i="2"/>
  <c r="O318" i="2"/>
  <c r="P318" i="2" s="1"/>
  <c r="O258" i="2"/>
  <c r="P258" i="2" s="1"/>
  <c r="N258" i="2"/>
  <c r="R270" i="2"/>
  <c r="O270" i="2"/>
  <c r="P270" i="2" s="1"/>
  <c r="N270" i="2"/>
  <c r="O213" i="2"/>
  <c r="P213" i="2" s="1"/>
  <c r="R213" i="2"/>
  <c r="Q213" i="2"/>
  <c r="O182" i="2"/>
  <c r="P182" i="2" s="1"/>
  <c r="N182" i="2"/>
  <c r="R182" i="2"/>
  <c r="N134" i="2"/>
  <c r="O134" i="2"/>
  <c r="Q134" i="2" s="1"/>
  <c r="P134" i="2"/>
  <c r="R158" i="2"/>
  <c r="Q158" i="2"/>
  <c r="P158" i="2"/>
  <c r="O158" i="2"/>
  <c r="N158" i="2"/>
  <c r="O63" i="2"/>
  <c r="R63" i="2"/>
  <c r="Q63" i="2"/>
  <c r="P63" i="2"/>
  <c r="P109" i="2"/>
  <c r="R301" i="2"/>
  <c r="N301" i="2"/>
  <c r="O301" i="2"/>
  <c r="P301" i="2" s="1"/>
  <c r="N109" i="2"/>
  <c r="Q302" i="2"/>
  <c r="R302" i="2"/>
  <c r="O302" i="2"/>
  <c r="P302" i="2" s="1"/>
  <c r="R299" i="2"/>
  <c r="O299" i="2"/>
  <c r="P299" i="2" s="1"/>
  <c r="N299" i="2"/>
  <c r="O109" i="2"/>
  <c r="N300" i="2"/>
  <c r="R300" i="2"/>
  <c r="O300" i="2"/>
  <c r="P300" i="2" s="1"/>
  <c r="R297" i="2"/>
  <c r="P297" i="2"/>
  <c r="O297" i="2"/>
  <c r="Q297" i="2" s="1"/>
  <c r="N297" i="2"/>
  <c r="R298" i="2"/>
  <c r="P298" i="2"/>
  <c r="O298" i="2"/>
  <c r="Q298" i="2" s="1"/>
  <c r="N298" i="2"/>
  <c r="O110" i="2"/>
  <c r="P110" i="2" s="1"/>
  <c r="R110" i="2"/>
  <c r="Q110" i="2"/>
  <c r="R111" i="2"/>
  <c r="Q111" i="2"/>
  <c r="O111" i="2"/>
  <c r="P111" i="2" s="1"/>
  <c r="R68" i="2"/>
  <c r="Q68" i="2"/>
  <c r="N68" i="2"/>
  <c r="R224" i="2"/>
  <c r="Q224" i="2"/>
  <c r="O224" i="2"/>
  <c r="P224" i="2" s="1"/>
  <c r="O33" i="2"/>
  <c r="P33" i="2" s="1"/>
  <c r="R33" i="2"/>
  <c r="Q33" i="2"/>
  <c r="Q313" i="2"/>
  <c r="O313" i="2"/>
  <c r="P313" i="2" s="1"/>
  <c r="Q11" i="2"/>
  <c r="R11" i="2"/>
  <c r="R34" i="2"/>
  <c r="O34" i="2"/>
  <c r="Q34" i="2"/>
  <c r="K400" i="2"/>
  <c r="K309" i="2"/>
  <c r="Q301" i="2" l="1"/>
  <c r="Q182" i="2"/>
  <c r="P72" i="2"/>
  <c r="Q109" i="2"/>
  <c r="P34" i="2"/>
  <c r="Q318" i="2"/>
  <c r="Q300" i="2"/>
  <c r="Q270" i="2"/>
  <c r="Q299" i="2"/>
  <c r="Q258" i="2"/>
  <c r="M382" i="2"/>
  <c r="R382" i="2" s="1"/>
  <c r="M264" i="2"/>
  <c r="N382" i="2" l="1"/>
  <c r="O382" i="2"/>
  <c r="P382" i="2" s="1"/>
  <c r="Q382" i="2"/>
  <c r="O264" i="2"/>
  <c r="P264" i="2" s="1"/>
  <c r="Q264" i="2"/>
  <c r="R264" i="2"/>
  <c r="N264" i="2"/>
  <c r="K163" i="2"/>
  <c r="K35" i="2" l="1"/>
  <c r="K187" i="2" l="1"/>
  <c r="K196" i="2" l="1"/>
  <c r="K327" i="2" l="1"/>
  <c r="K27" i="2"/>
  <c r="M400" i="2" l="1"/>
  <c r="K3" i="2"/>
  <c r="O400" i="2" l="1"/>
  <c r="P400" i="2" s="1"/>
  <c r="N400" i="2"/>
  <c r="R400" i="2"/>
  <c r="M163" i="2"/>
  <c r="M309" i="2"/>
  <c r="M35" i="2"/>
  <c r="O35" i="2" s="1"/>
  <c r="P35" i="2" s="1"/>
  <c r="M187" i="2"/>
  <c r="M196" i="2"/>
  <c r="N196" i="2" s="1"/>
  <c r="M27" i="2"/>
  <c r="M327" i="2"/>
  <c r="M3" i="2"/>
  <c r="Q400" i="2" l="1"/>
  <c r="Q163" i="2"/>
  <c r="N163" i="2"/>
  <c r="O163" i="2"/>
  <c r="P163" i="2" s="1"/>
  <c r="R163" i="2"/>
  <c r="N309" i="2"/>
  <c r="O309" i="2"/>
  <c r="P309" i="2" s="1"/>
  <c r="R309" i="2"/>
  <c r="Q35" i="2"/>
  <c r="R35" i="2"/>
  <c r="N35" i="2"/>
  <c r="N187" i="2"/>
  <c r="O187" i="2"/>
  <c r="P187" i="2" s="1"/>
  <c r="R187" i="2"/>
  <c r="O196" i="2"/>
  <c r="P196" i="2" s="1"/>
  <c r="R196" i="2"/>
  <c r="Q196" i="2"/>
  <c r="N27" i="2"/>
  <c r="R27" i="2"/>
  <c r="O27" i="2"/>
  <c r="P27" i="2" s="1"/>
  <c r="O327" i="2"/>
  <c r="P327" i="2" s="1"/>
  <c r="R327" i="2"/>
  <c r="N327" i="2"/>
  <c r="O3" i="2"/>
  <c r="R3" i="2"/>
  <c r="N3" i="2"/>
  <c r="K421" i="2"/>
  <c r="Q309" i="2" l="1"/>
  <c r="Q187" i="2"/>
  <c r="P3" i="2"/>
  <c r="Q27" i="2"/>
  <c r="Q3" i="2"/>
  <c r="Q327" i="2"/>
  <c r="K249" i="2" l="1"/>
  <c r="K374" i="2"/>
  <c r="M249" i="2" l="1"/>
  <c r="M421" i="2"/>
  <c r="R249" i="2" l="1"/>
  <c r="O249" i="2"/>
  <c r="P249" i="2" s="1"/>
  <c r="N249" i="2"/>
  <c r="R421" i="2"/>
  <c r="N421" i="2"/>
  <c r="O421" i="2"/>
  <c r="P421" i="2" s="1"/>
  <c r="K399" i="2"/>
  <c r="Q421" i="2" l="1"/>
  <c r="Q249" i="2"/>
  <c r="M399" i="2" l="1"/>
  <c r="N399" i="2" s="1"/>
  <c r="M374" i="2"/>
  <c r="R399" i="2" l="1"/>
  <c r="O399" i="2"/>
  <c r="P399" i="2" s="1"/>
  <c r="O374" i="2"/>
  <c r="P374" i="2" s="1"/>
  <c r="N374" i="2"/>
  <c r="R374" i="2"/>
  <c r="Q399" i="2" l="1"/>
  <c r="Q374" i="2"/>
  <c r="K197" i="2" l="1"/>
  <c r="K144" i="2" l="1"/>
  <c r="K286" i="2" l="1"/>
  <c r="M197" i="2" l="1"/>
  <c r="N197" i="2" l="1"/>
  <c r="O197" i="2"/>
  <c r="P197" i="2" s="1"/>
  <c r="R197" i="2"/>
  <c r="M144" i="2"/>
  <c r="M286" i="2"/>
  <c r="N286" i="2" s="1"/>
  <c r="Q197" i="2" l="1"/>
  <c r="R144" i="2"/>
  <c r="N144" i="2"/>
  <c r="O144" i="2"/>
  <c r="P144" i="2" s="1"/>
  <c r="R286" i="2"/>
  <c r="O286" i="2"/>
  <c r="Q286" i="2" s="1"/>
  <c r="Q144" i="2" l="1"/>
  <c r="P286" i="2"/>
  <c r="C23" i="3" l="1"/>
  <c r="K82" i="2"/>
  <c r="K411" i="2" l="1"/>
  <c r="M345" i="2"/>
  <c r="R345" i="2" s="1"/>
  <c r="K345" i="2"/>
  <c r="K344" i="2"/>
  <c r="N345" i="2" l="1"/>
  <c r="O345" i="2"/>
  <c r="P345" i="2" s="1"/>
  <c r="K378" i="2"/>
  <c r="Q345" i="2" l="1"/>
  <c r="K106" i="2"/>
  <c r="M82" i="2" l="1"/>
  <c r="M344" i="2"/>
  <c r="R344" i="2" s="1"/>
  <c r="M411" i="2"/>
  <c r="M106" i="2"/>
  <c r="R106" i="2" s="1"/>
  <c r="M378" i="2"/>
  <c r="N378" i="2" s="1"/>
  <c r="O82" i="2" l="1"/>
  <c r="N82" i="2"/>
  <c r="R82" i="2"/>
  <c r="O344" i="2"/>
  <c r="P344" i="2" s="1"/>
  <c r="N344" i="2"/>
  <c r="O411" i="2"/>
  <c r="P411" i="2" s="1"/>
  <c r="R411" i="2"/>
  <c r="N411" i="2"/>
  <c r="N106" i="2"/>
  <c r="O106" i="2"/>
  <c r="P106" i="2" s="1"/>
  <c r="O378" i="2"/>
  <c r="P378" i="2" s="1"/>
  <c r="R378" i="2"/>
  <c r="Q411" i="2" l="1"/>
  <c r="P82" i="2"/>
  <c r="D23" i="3"/>
  <c r="E23" i="3" s="1"/>
  <c r="Q378" i="2"/>
  <c r="Q106" i="2"/>
  <c r="Q344" i="2"/>
  <c r="Q82" i="2"/>
  <c r="K45" i="2"/>
  <c r="K161" i="2" l="1"/>
  <c r="K49" i="2"/>
  <c r="K247" i="2" l="1"/>
  <c r="K331" i="2" l="1"/>
  <c r="K194" i="2" l="1"/>
  <c r="K273" i="2"/>
  <c r="K388" i="2" l="1"/>
  <c r="K86" i="2" l="1"/>
  <c r="M32" i="2"/>
  <c r="R32" i="2" s="1"/>
  <c r="K32" i="2"/>
  <c r="M31" i="2"/>
  <c r="Q31" i="2" s="1"/>
  <c r="K31" i="2"/>
  <c r="R31" i="2" l="1"/>
  <c r="N32" i="2"/>
  <c r="N31" i="2"/>
  <c r="O32" i="2"/>
  <c r="O31" i="2"/>
  <c r="P32" i="2"/>
  <c r="P31" i="2"/>
  <c r="Q32" i="2"/>
  <c r="K312" i="2"/>
  <c r="K54" i="2"/>
  <c r="K98" i="2"/>
  <c r="K90" i="2" l="1"/>
  <c r="K139" i="2" l="1"/>
  <c r="K314" i="2" l="1"/>
  <c r="C12" i="3"/>
  <c r="K39" i="2"/>
  <c r="K259" i="2"/>
  <c r="K311" i="2"/>
  <c r="K50" i="2"/>
  <c r="C27" i="3"/>
  <c r="K30" i="2"/>
  <c r="K201" i="2"/>
  <c r="K200" i="2"/>
  <c r="K243" i="2"/>
  <c r="K241" i="2"/>
  <c r="K152" i="2"/>
  <c r="K4" i="2" l="1"/>
  <c r="K5" i="2"/>
  <c r="K6" i="2"/>
  <c r="K7" i="2"/>
  <c r="K8" i="2"/>
  <c r="K9" i="2"/>
  <c r="K10" i="2"/>
  <c r="K253" i="2"/>
  <c r="K12" i="2"/>
  <c r="K13" i="2"/>
  <c r="K14" i="2"/>
  <c r="K15" i="2"/>
  <c r="K16" i="2"/>
  <c r="K17" i="2"/>
  <c r="K18" i="2"/>
  <c r="K19" i="2"/>
  <c r="K20" i="2"/>
  <c r="K21" i="2"/>
  <c r="K23" i="2"/>
  <c r="K24" i="2"/>
  <c r="K25" i="2"/>
  <c r="K26" i="2"/>
  <c r="K28" i="2"/>
  <c r="K29" i="2"/>
  <c r="K138" i="2"/>
  <c r="K36" i="2"/>
  <c r="K38" i="2"/>
  <c r="K40" i="2"/>
  <c r="K41" i="2"/>
  <c r="K42" i="2"/>
  <c r="K43" i="2"/>
  <c r="K44" i="2"/>
  <c r="K37" i="2"/>
  <c r="K46" i="2"/>
  <c r="K47" i="2"/>
  <c r="K440" i="2"/>
  <c r="K51" i="2"/>
  <c r="K52" i="2"/>
  <c r="K53" i="2"/>
  <c r="K55" i="2"/>
  <c r="K56" i="2"/>
  <c r="K57" i="2"/>
  <c r="K58" i="2"/>
  <c r="K59" i="2"/>
  <c r="K60" i="2"/>
  <c r="K61" i="2"/>
  <c r="K62" i="2"/>
  <c r="K64" i="2"/>
  <c r="K65" i="2"/>
  <c r="K67" i="2"/>
  <c r="K69" i="2"/>
  <c r="K70" i="2"/>
  <c r="K71" i="2"/>
  <c r="K237" i="2"/>
  <c r="K73" i="2"/>
  <c r="K74" i="2"/>
  <c r="K75" i="2"/>
  <c r="K379" i="2"/>
  <c r="K76" i="2"/>
  <c r="K77" i="2"/>
  <c r="K78" i="2"/>
  <c r="K80" i="2"/>
  <c r="K81" i="2"/>
  <c r="K83" i="2"/>
  <c r="K84" i="2"/>
  <c r="K85" i="2"/>
  <c r="K87" i="2"/>
  <c r="K88" i="2"/>
  <c r="K91" i="2"/>
  <c r="K92" i="2"/>
  <c r="K93" i="2"/>
  <c r="K94" i="2"/>
  <c r="K95" i="2"/>
  <c r="K96" i="2"/>
  <c r="K97" i="2"/>
  <c r="K99" i="2"/>
  <c r="K102" i="2"/>
  <c r="K103" i="2"/>
  <c r="K105" i="2"/>
  <c r="K107" i="2"/>
  <c r="K108" i="2"/>
  <c r="K112" i="2"/>
  <c r="K113" i="2"/>
  <c r="K114" i="2"/>
  <c r="K115" i="2"/>
  <c r="K116" i="2"/>
  <c r="K117" i="2"/>
  <c r="K118" i="2"/>
  <c r="K119" i="2"/>
  <c r="K164" i="2"/>
  <c r="K165" i="2"/>
  <c r="K166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5" i="2"/>
  <c r="K137" i="2"/>
  <c r="K140" i="2"/>
  <c r="K141" i="2"/>
  <c r="K142" i="2"/>
  <c r="K143" i="2"/>
  <c r="K145" i="2"/>
  <c r="K146" i="2"/>
  <c r="K147" i="2"/>
  <c r="K148" i="2"/>
  <c r="K149" i="2"/>
  <c r="K150" i="2"/>
  <c r="K151" i="2"/>
  <c r="K153" i="2"/>
  <c r="K154" i="2"/>
  <c r="K394" i="2"/>
  <c r="K409" i="2"/>
  <c r="K156" i="2"/>
  <c r="K157" i="2"/>
  <c r="K252" i="2"/>
  <c r="K159" i="2"/>
  <c r="K160" i="2"/>
  <c r="K136" i="2"/>
  <c r="K162" i="2"/>
  <c r="K167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3" i="2"/>
  <c r="K184" i="2"/>
  <c r="K185" i="2"/>
  <c r="K186" i="2"/>
  <c r="K188" i="2"/>
  <c r="K189" i="2"/>
  <c r="K190" i="2"/>
  <c r="K191" i="2"/>
  <c r="K192" i="2"/>
  <c r="K193" i="2"/>
  <c r="K195" i="2"/>
  <c r="K198" i="2"/>
  <c r="K199" i="2"/>
  <c r="K202" i="2"/>
  <c r="K203" i="2"/>
  <c r="K205" i="2"/>
  <c r="K206" i="2"/>
  <c r="K207" i="2"/>
  <c r="K208" i="2"/>
  <c r="K209" i="2"/>
  <c r="K210" i="2"/>
  <c r="K211" i="2"/>
  <c r="K212" i="2"/>
  <c r="K217" i="2"/>
  <c r="K269" i="2"/>
  <c r="K218" i="2"/>
  <c r="K219" i="2"/>
  <c r="K220" i="2"/>
  <c r="K221" i="2"/>
  <c r="K222" i="2"/>
  <c r="K223" i="2"/>
  <c r="K225" i="2"/>
  <c r="K226" i="2"/>
  <c r="K227" i="2"/>
  <c r="K305" i="2"/>
  <c r="K228" i="2"/>
  <c r="K229" i="2"/>
  <c r="K230" i="2"/>
  <c r="K231" i="2"/>
  <c r="K232" i="2"/>
  <c r="K234" i="2"/>
  <c r="K235" i="2"/>
  <c r="K238" i="2"/>
  <c r="K239" i="2"/>
  <c r="K240" i="2"/>
  <c r="K244" i="2"/>
  <c r="K245" i="2"/>
  <c r="K246" i="2"/>
  <c r="K248" i="2"/>
  <c r="K216" i="2"/>
  <c r="K251" i="2"/>
  <c r="K254" i="2"/>
  <c r="K255" i="2"/>
  <c r="K256" i="2"/>
  <c r="K257" i="2"/>
  <c r="K260" i="2"/>
  <c r="K261" i="2"/>
  <c r="K262" i="2"/>
  <c r="K263" i="2"/>
  <c r="K265" i="2"/>
  <c r="K267" i="2"/>
  <c r="K271" i="2"/>
  <c r="K272" i="2"/>
  <c r="K104" i="2"/>
  <c r="K274" i="2"/>
  <c r="K275" i="2"/>
  <c r="K276" i="2"/>
  <c r="K277" i="2"/>
  <c r="K278" i="2"/>
  <c r="K279" i="2"/>
  <c r="K281" i="2"/>
  <c r="K282" i="2"/>
  <c r="K283" i="2"/>
  <c r="K284" i="2"/>
  <c r="K285" i="2"/>
  <c r="K287" i="2"/>
  <c r="K288" i="2"/>
  <c r="K370" i="2"/>
  <c r="K371" i="2"/>
  <c r="K289" i="2"/>
  <c r="K290" i="2"/>
  <c r="K291" i="2"/>
  <c r="K292" i="2"/>
  <c r="K293" i="2"/>
  <c r="K294" i="2"/>
  <c r="K295" i="2"/>
  <c r="K296" i="2"/>
  <c r="K303" i="2"/>
  <c r="K304" i="2"/>
  <c r="K236" i="2"/>
  <c r="K306" i="2"/>
  <c r="K307" i="2"/>
  <c r="K308" i="2"/>
  <c r="K315" i="2"/>
  <c r="K316" i="2"/>
  <c r="K317" i="2"/>
  <c r="K319" i="2"/>
  <c r="K321" i="2"/>
  <c r="K322" i="2"/>
  <c r="K323" i="2"/>
  <c r="K324" i="2"/>
  <c r="K326" i="2"/>
  <c r="K328" i="2"/>
  <c r="K330" i="2"/>
  <c r="K332" i="2"/>
  <c r="K333" i="2"/>
  <c r="K334" i="2"/>
  <c r="K335" i="2"/>
  <c r="K336" i="2"/>
  <c r="K337" i="2"/>
  <c r="K338" i="2"/>
  <c r="K339" i="2"/>
  <c r="K340" i="2"/>
  <c r="K342" i="2"/>
  <c r="K343" i="2"/>
  <c r="K346" i="2"/>
  <c r="K347" i="2"/>
  <c r="K348" i="2"/>
  <c r="K349" i="2"/>
  <c r="K350" i="2"/>
  <c r="K351" i="2"/>
  <c r="K352" i="2"/>
  <c r="K353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2" i="2"/>
  <c r="K373" i="2"/>
  <c r="K375" i="2"/>
  <c r="K376" i="2"/>
  <c r="K377" i="2"/>
  <c r="K380" i="2"/>
  <c r="K381" i="2"/>
  <c r="K383" i="2"/>
  <c r="K384" i="2"/>
  <c r="K385" i="2"/>
  <c r="K386" i="2"/>
  <c r="K233" i="2"/>
  <c r="K387" i="2"/>
  <c r="K389" i="2"/>
  <c r="K390" i="2"/>
  <c r="K391" i="2"/>
  <c r="K392" i="2"/>
  <c r="K66" i="2"/>
  <c r="K393" i="2"/>
  <c r="K395" i="2"/>
  <c r="K396" i="2"/>
  <c r="K414" i="2"/>
  <c r="K415" i="2"/>
  <c r="K397" i="2"/>
  <c r="K398" i="2"/>
  <c r="K402" i="2"/>
  <c r="K403" i="2"/>
  <c r="K404" i="2"/>
  <c r="K405" i="2"/>
  <c r="K406" i="2"/>
  <c r="K407" i="2"/>
  <c r="K408" i="2"/>
  <c r="K410" i="2"/>
  <c r="K412" i="2"/>
  <c r="K413" i="2"/>
  <c r="K416" i="2"/>
  <c r="K417" i="2"/>
  <c r="K418" i="2"/>
  <c r="K419" i="2"/>
  <c r="K422" i="2"/>
  <c r="K423" i="2"/>
  <c r="K424" i="2"/>
  <c r="K425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354" i="2"/>
  <c r="K441" i="2"/>
  <c r="K442" i="2"/>
  <c r="K443" i="2"/>
  <c r="K444" i="2"/>
  <c r="K445" i="2"/>
  <c r="K446" i="2"/>
  <c r="M7" i="2" l="1"/>
  <c r="N7" i="2" s="1"/>
  <c r="M10" i="2"/>
  <c r="N10" i="2" s="1"/>
  <c r="M12" i="2"/>
  <c r="N12" i="2" s="1"/>
  <c r="M13" i="2"/>
  <c r="N13" i="2" s="1"/>
  <c r="M15" i="2"/>
  <c r="N15" i="2" s="1"/>
  <c r="M19" i="2"/>
  <c r="N19" i="2" s="1"/>
  <c r="M23" i="2"/>
  <c r="N23" i="2" s="1"/>
  <c r="M25" i="2"/>
  <c r="N25" i="2" s="1"/>
  <c r="M28" i="2"/>
  <c r="M46" i="2"/>
  <c r="N46" i="2" s="1"/>
  <c r="M56" i="2"/>
  <c r="M62" i="2"/>
  <c r="N62" i="2" s="1"/>
  <c r="M67" i="2"/>
  <c r="M83" i="2"/>
  <c r="M84" i="2"/>
  <c r="M85" i="2"/>
  <c r="M97" i="2"/>
  <c r="N97" i="2" s="1"/>
  <c r="M102" i="2"/>
  <c r="M112" i="2"/>
  <c r="M113" i="2"/>
  <c r="M114" i="2"/>
  <c r="M115" i="2"/>
  <c r="M121" i="2"/>
  <c r="N121" i="2" s="1"/>
  <c r="M131" i="2"/>
  <c r="N131" i="2" s="1"/>
  <c r="M132" i="2"/>
  <c r="N132" i="2" s="1"/>
  <c r="M133" i="2"/>
  <c r="N133" i="2" s="1"/>
  <c r="M141" i="2"/>
  <c r="M146" i="2"/>
  <c r="M148" i="2"/>
  <c r="N148" i="2" s="1"/>
  <c r="M169" i="2"/>
  <c r="M171" i="2"/>
  <c r="N171" i="2" s="1"/>
  <c r="M173" i="2"/>
  <c r="M176" i="2"/>
  <c r="M181" i="2"/>
  <c r="M186" i="2"/>
  <c r="M192" i="2"/>
  <c r="M222" i="2"/>
  <c r="N222" i="2" s="1"/>
  <c r="M227" i="2"/>
  <c r="N227" i="2" s="1"/>
  <c r="M229" i="2"/>
  <c r="N229" i="2" s="1"/>
  <c r="M232" i="2"/>
  <c r="M235" i="2"/>
  <c r="M238" i="2"/>
  <c r="M246" i="2"/>
  <c r="N246" i="2" s="1"/>
  <c r="M254" i="2"/>
  <c r="M263" i="2"/>
  <c r="O263" i="2" s="1"/>
  <c r="M271" i="2"/>
  <c r="M272" i="2"/>
  <c r="M275" i="2"/>
  <c r="M278" i="2"/>
  <c r="M281" i="2"/>
  <c r="N281" i="2" s="1"/>
  <c r="M284" i="2"/>
  <c r="M285" i="2"/>
  <c r="N285" i="2" s="1"/>
  <c r="M290" i="2"/>
  <c r="M295" i="2"/>
  <c r="M321" i="2"/>
  <c r="N321" i="2" s="1"/>
  <c r="M332" i="2"/>
  <c r="N332" i="2" s="1"/>
  <c r="M343" i="2"/>
  <c r="N343" i="2" s="1"/>
  <c r="M361" i="2"/>
  <c r="N361" i="2" s="1"/>
  <c r="M365" i="2"/>
  <c r="N365" i="2" s="1"/>
  <c r="M367" i="2"/>
  <c r="N367" i="2" s="1"/>
  <c r="M384" i="2"/>
  <c r="M386" i="2"/>
  <c r="N386" i="2" s="1"/>
  <c r="M390" i="2"/>
  <c r="M391" i="2"/>
  <c r="M392" i="2"/>
  <c r="M413" i="2"/>
  <c r="M418" i="2"/>
  <c r="N418" i="2" s="1"/>
  <c r="M423" i="2"/>
  <c r="N423" i="2" s="1"/>
  <c r="M431" i="2"/>
  <c r="M438" i="2"/>
  <c r="M442" i="2"/>
  <c r="M443" i="2"/>
  <c r="N443" i="2" s="1"/>
  <c r="O442" i="2" l="1"/>
  <c r="P442" i="2" s="1"/>
  <c r="R442" i="2"/>
  <c r="O367" i="2"/>
  <c r="P367" i="2" s="1"/>
  <c r="R367" i="2"/>
  <c r="Q367" i="2"/>
  <c r="O343" i="2"/>
  <c r="P343" i="2" s="1"/>
  <c r="R343" i="2"/>
  <c r="Q343" i="2"/>
  <c r="O278" i="2"/>
  <c r="P278" i="2" s="1"/>
  <c r="R278" i="2"/>
  <c r="O235" i="2"/>
  <c r="P235" i="2" s="1"/>
  <c r="R235" i="2"/>
  <c r="O181" i="2"/>
  <c r="P181" i="2" s="1"/>
  <c r="R181" i="2"/>
  <c r="O173" i="2"/>
  <c r="R173" i="2"/>
  <c r="O112" i="2"/>
  <c r="R112" i="2"/>
  <c r="Q112" i="2"/>
  <c r="P112" i="2"/>
  <c r="O28" i="2"/>
  <c r="Q28" i="2" s="1"/>
  <c r="R28" i="2"/>
  <c r="O295" i="2"/>
  <c r="R295" i="2"/>
  <c r="Q295" i="2"/>
  <c r="P295" i="2"/>
  <c r="R263" i="2"/>
  <c r="Q263" i="2"/>
  <c r="P263" i="2"/>
  <c r="O222" i="2"/>
  <c r="P222" i="2" s="1"/>
  <c r="R222" i="2"/>
  <c r="Q222" i="2"/>
  <c r="O192" i="2"/>
  <c r="P192" i="2" s="1"/>
  <c r="R192" i="2"/>
  <c r="O186" i="2"/>
  <c r="P186" i="2" s="1"/>
  <c r="R186" i="2"/>
  <c r="O146" i="2"/>
  <c r="P146" i="2" s="1"/>
  <c r="R146" i="2"/>
  <c r="O391" i="2"/>
  <c r="P391" i="2" s="1"/>
  <c r="R391" i="2"/>
  <c r="O384" i="2"/>
  <c r="Q384" i="2" s="1"/>
  <c r="R384" i="2"/>
  <c r="P384" i="2"/>
  <c r="O275" i="2"/>
  <c r="P275" i="2" s="1"/>
  <c r="R275" i="2"/>
  <c r="O227" i="2"/>
  <c r="P227" i="2" s="1"/>
  <c r="R227" i="2"/>
  <c r="Q227" i="2"/>
  <c r="O85" i="2"/>
  <c r="P85" i="2" s="1"/>
  <c r="R85" i="2"/>
  <c r="O56" i="2"/>
  <c r="P56" i="2" s="1"/>
  <c r="R56" i="2"/>
  <c r="O7" i="2"/>
  <c r="P7" i="2" s="1"/>
  <c r="R7" i="2"/>
  <c r="Q7" i="2"/>
  <c r="O386" i="2"/>
  <c r="P386" i="2" s="1"/>
  <c r="R386" i="2"/>
  <c r="Q386" i="2"/>
  <c r="O281" i="2"/>
  <c r="P281" i="2" s="1"/>
  <c r="R281" i="2"/>
  <c r="Q281" i="2"/>
  <c r="O238" i="2"/>
  <c r="P238" i="2" s="1"/>
  <c r="R238" i="2"/>
  <c r="O131" i="2"/>
  <c r="P131" i="2" s="1"/>
  <c r="R131" i="2"/>
  <c r="Q131" i="2"/>
  <c r="O121" i="2"/>
  <c r="P121" i="2" s="1"/>
  <c r="R121" i="2"/>
  <c r="Q121" i="2"/>
  <c r="O67" i="2"/>
  <c r="R67" i="2"/>
  <c r="Q67" i="2"/>
  <c r="P67" i="2"/>
  <c r="O62" i="2"/>
  <c r="R62" i="2"/>
  <c r="Q62" i="2"/>
  <c r="O25" i="2"/>
  <c r="P25" i="2" s="1"/>
  <c r="R25" i="2"/>
  <c r="Q25" i="2"/>
  <c r="O23" i="2"/>
  <c r="P23" i="2" s="1"/>
  <c r="R23" i="2"/>
  <c r="Q23" i="2"/>
  <c r="O361" i="2"/>
  <c r="P361" i="2" s="1"/>
  <c r="R361" i="2"/>
  <c r="Q361" i="2"/>
  <c r="O176" i="2"/>
  <c r="P176" i="2" s="1"/>
  <c r="R176" i="2"/>
  <c r="O169" i="2"/>
  <c r="P169" i="2" s="1"/>
  <c r="R169" i="2"/>
  <c r="O97" i="2"/>
  <c r="P97" i="2" s="1"/>
  <c r="R97" i="2"/>
  <c r="Q97" i="2"/>
  <c r="O84" i="2"/>
  <c r="P84" i="2" s="1"/>
  <c r="R84" i="2"/>
  <c r="O10" i="2"/>
  <c r="P10" i="2" s="1"/>
  <c r="R10" i="2"/>
  <c r="Q10" i="2"/>
  <c r="O438" i="2"/>
  <c r="P438" i="2" s="1"/>
  <c r="R438" i="2"/>
  <c r="O423" i="2"/>
  <c r="P423" i="2" s="1"/>
  <c r="R423" i="2"/>
  <c r="Q423" i="2"/>
  <c r="O365" i="2"/>
  <c r="P365" i="2" s="1"/>
  <c r="R365" i="2"/>
  <c r="Q365" i="2"/>
  <c r="O332" i="2"/>
  <c r="P332" i="2" s="1"/>
  <c r="R332" i="2"/>
  <c r="Q332" i="2"/>
  <c r="O290" i="2"/>
  <c r="P290" i="2" s="1"/>
  <c r="R290" i="2"/>
  <c r="O272" i="2"/>
  <c r="P272" i="2" s="1"/>
  <c r="R272" i="2"/>
  <c r="O229" i="2"/>
  <c r="P229" i="2" s="1"/>
  <c r="R229" i="2"/>
  <c r="Q229" i="2"/>
  <c r="O148" i="2"/>
  <c r="P148" i="2" s="1"/>
  <c r="R148" i="2"/>
  <c r="Q148" i="2"/>
  <c r="O141" i="2"/>
  <c r="P141" i="2" s="1"/>
  <c r="R141" i="2"/>
  <c r="O115" i="2"/>
  <c r="Q115" i="2" s="1"/>
  <c r="R115" i="2"/>
  <c r="P115" i="2"/>
  <c r="O102" i="2"/>
  <c r="R102" i="2"/>
  <c r="O83" i="2"/>
  <c r="P83" i="2" s="1"/>
  <c r="R83" i="2"/>
  <c r="O15" i="2"/>
  <c r="P15" i="2" s="1"/>
  <c r="R15" i="2"/>
  <c r="Q15" i="2"/>
  <c r="O431" i="2"/>
  <c r="R431" i="2"/>
  <c r="Q431" i="2"/>
  <c r="P431" i="2"/>
  <c r="O418" i="2"/>
  <c r="P418" i="2" s="1"/>
  <c r="R418" i="2"/>
  <c r="Q418" i="2"/>
  <c r="O413" i="2"/>
  <c r="P413" i="2" s="1"/>
  <c r="R413" i="2"/>
  <c r="Q413" i="2"/>
  <c r="O392" i="2"/>
  <c r="P392" i="2" s="1"/>
  <c r="R392" i="2"/>
  <c r="O390" i="2"/>
  <c r="P390" i="2" s="1"/>
  <c r="R390" i="2"/>
  <c r="O321" i="2"/>
  <c r="R321" i="2"/>
  <c r="Q321" i="2"/>
  <c r="P321" i="2"/>
  <c r="O285" i="2"/>
  <c r="P285" i="2" s="1"/>
  <c r="R285" i="2"/>
  <c r="Q285" i="2"/>
  <c r="O284" i="2"/>
  <c r="P284" i="2" s="1"/>
  <c r="R284" i="2"/>
  <c r="O271" i="2"/>
  <c r="P271" i="2" s="1"/>
  <c r="R271" i="2"/>
  <c r="O254" i="2"/>
  <c r="P254" i="2" s="1"/>
  <c r="R254" i="2"/>
  <c r="O232" i="2"/>
  <c r="P232" i="2" s="1"/>
  <c r="R232" i="2"/>
  <c r="Q232" i="2"/>
  <c r="O114" i="2"/>
  <c r="R114" i="2"/>
  <c r="Q114" i="2"/>
  <c r="P114" i="2"/>
  <c r="O12" i="2"/>
  <c r="R12" i="2"/>
  <c r="Q12" i="2"/>
  <c r="O443" i="2"/>
  <c r="P443" i="2" s="1"/>
  <c r="R443" i="2"/>
  <c r="Q443" i="2"/>
  <c r="O246" i="2"/>
  <c r="P246" i="2" s="1"/>
  <c r="R246" i="2"/>
  <c r="Q246" i="2"/>
  <c r="O171" i="2"/>
  <c r="P171" i="2" s="1"/>
  <c r="R171" i="2"/>
  <c r="Q171" i="2"/>
  <c r="O133" i="2"/>
  <c r="D16" i="3" s="1"/>
  <c r="R133" i="2"/>
  <c r="Q133" i="2"/>
  <c r="O132" i="2"/>
  <c r="P132" i="2" s="1"/>
  <c r="R132" i="2"/>
  <c r="Q132" i="2"/>
  <c r="O113" i="2"/>
  <c r="R113" i="2"/>
  <c r="Q113" i="2"/>
  <c r="P113" i="2"/>
  <c r="O46" i="2"/>
  <c r="P46" i="2" s="1"/>
  <c r="R46" i="2"/>
  <c r="Q46" i="2"/>
  <c r="O19" i="2"/>
  <c r="P19" i="2" s="1"/>
  <c r="R19" i="2"/>
  <c r="Q19" i="2"/>
  <c r="O13" i="2"/>
  <c r="R13" i="2"/>
  <c r="Q13" i="2"/>
  <c r="N413" i="2"/>
  <c r="L402" i="2"/>
  <c r="N271" i="2"/>
  <c r="N192" i="2"/>
  <c r="C21" i="3"/>
  <c r="N141" i="2"/>
  <c r="C16" i="3"/>
  <c r="N115" i="2"/>
  <c r="C8" i="3"/>
  <c r="N85" i="2"/>
  <c r="N83" i="2"/>
  <c r="N28" i="2"/>
  <c r="L26" i="2"/>
  <c r="L8" i="2"/>
  <c r="Q284" i="2" l="1"/>
  <c r="Q102" i="2"/>
  <c r="Q272" i="2"/>
  <c r="P133" i="2"/>
  <c r="C19" i="3"/>
  <c r="Q146" i="2"/>
  <c r="C24" i="3"/>
  <c r="C20" i="3"/>
  <c r="C30" i="3"/>
  <c r="C5" i="3"/>
  <c r="C26" i="3"/>
  <c r="C6" i="3"/>
  <c r="C33" i="3" s="1"/>
  <c r="C17" i="3"/>
  <c r="E16" i="3"/>
  <c r="C15" i="3"/>
  <c r="C11" i="3"/>
  <c r="C7" i="3"/>
  <c r="P102" i="2"/>
  <c r="P173" i="2"/>
  <c r="P62" i="2"/>
  <c r="P12" i="2"/>
  <c r="P28" i="2"/>
  <c r="P13" i="2"/>
  <c r="Q390" i="2"/>
  <c r="Q169" i="2"/>
  <c r="Q438" i="2"/>
  <c r="Q254" i="2"/>
  <c r="Q442" i="2"/>
  <c r="Q85" i="2"/>
  <c r="Q238" i="2"/>
  <c r="Q271" i="2"/>
  <c r="Q173" i="2"/>
  <c r="Q275" i="2"/>
  <c r="Q176" i="2"/>
  <c r="Q391" i="2"/>
  <c r="Q56" i="2"/>
  <c r="Q392" i="2"/>
  <c r="Q290" i="2"/>
  <c r="Q278" i="2"/>
  <c r="Q186" i="2"/>
  <c r="Q181" i="2"/>
  <c r="Q83" i="2"/>
  <c r="Q141" i="2"/>
  <c r="Q84" i="2"/>
  <c r="Q235" i="2"/>
  <c r="Q192" i="2"/>
  <c r="C22" i="3"/>
  <c r="C13" i="3"/>
  <c r="C9" i="3"/>
  <c r="N56" i="2"/>
  <c r="N67" i="2"/>
  <c r="N146" i="2"/>
  <c r="N284" i="2"/>
  <c r="N390" i="2"/>
  <c r="N84" i="2"/>
  <c r="N113" i="2"/>
  <c r="N102" i="2"/>
  <c r="N176" i="2"/>
  <c r="N181" i="2"/>
  <c r="N254" i="2"/>
  <c r="N235" i="2"/>
  <c r="N173" i="2"/>
  <c r="N278" i="2"/>
  <c r="N275" i="2"/>
  <c r="N238" i="2"/>
  <c r="N290" i="2"/>
  <c r="N384" i="2"/>
  <c r="N442" i="2"/>
  <c r="N169" i="2"/>
  <c r="N112" i="2"/>
  <c r="N114" i="2"/>
  <c r="N232" i="2"/>
  <c r="N186" i="2"/>
  <c r="N263" i="2"/>
  <c r="N295" i="2"/>
  <c r="N272" i="2"/>
  <c r="N391" i="2"/>
  <c r="N392" i="2"/>
  <c r="N431" i="2"/>
  <c r="N438" i="2"/>
  <c r="C28" i="3" l="1"/>
  <c r="C32" i="3" s="1"/>
  <c r="C34" i="3" s="1"/>
  <c r="L450" i="2"/>
  <c r="L1" i="2"/>
  <c r="M220" i="2" l="1"/>
  <c r="R220" i="2" s="1"/>
  <c r="M45" i="2"/>
  <c r="M137" i="2"/>
  <c r="M326" i="2"/>
  <c r="M161" i="2"/>
  <c r="M247" i="2"/>
  <c r="R247" i="2" s="1"/>
  <c r="M49" i="2"/>
  <c r="M167" i="2"/>
  <c r="M331" i="2"/>
  <c r="M337" i="2"/>
  <c r="O337" i="2" s="1"/>
  <c r="M126" i="2"/>
  <c r="M265" i="2"/>
  <c r="M369" i="2"/>
  <c r="O369" i="2" s="1"/>
  <c r="M351" i="2"/>
  <c r="R351" i="2" s="1"/>
  <c r="M282" i="2"/>
  <c r="M190" i="2"/>
  <c r="N190" i="2" s="1"/>
  <c r="M273" i="2"/>
  <c r="M194" i="2"/>
  <c r="M388" i="2"/>
  <c r="N388" i="2" s="1"/>
  <c r="M142" i="2"/>
  <c r="M86" i="2"/>
  <c r="M99" i="2"/>
  <c r="R99" i="2" s="1"/>
  <c r="M312" i="2"/>
  <c r="M54" i="2"/>
  <c r="N54" i="2" s="1"/>
  <c r="M98" i="2"/>
  <c r="N98" i="2" s="1"/>
  <c r="M90" i="2"/>
  <c r="M335" i="2"/>
  <c r="M87" i="2"/>
  <c r="M139" i="2"/>
  <c r="N139" i="2" s="1"/>
  <c r="M120" i="2"/>
  <c r="M437" i="2"/>
  <c r="N437" i="2" s="1"/>
  <c r="M143" i="2"/>
  <c r="M39" i="2"/>
  <c r="N39" i="2" s="1"/>
  <c r="M314" i="2"/>
  <c r="R314" i="2" s="1"/>
  <c r="M259" i="2"/>
  <c r="M311" i="2"/>
  <c r="R311" i="2" s="1"/>
  <c r="M30" i="2"/>
  <c r="R30" i="2" s="1"/>
  <c r="M50" i="2"/>
  <c r="R50" i="2" s="1"/>
  <c r="M201" i="2"/>
  <c r="N201" i="2" s="1"/>
  <c r="M219" i="2"/>
  <c r="M200" i="2"/>
  <c r="M14" i="2"/>
  <c r="N14" i="2" s="1"/>
  <c r="M243" i="2"/>
  <c r="M152" i="2"/>
  <c r="M241" i="2"/>
  <c r="R241" i="2" s="1"/>
  <c r="M308" i="2"/>
  <c r="M127" i="2"/>
  <c r="N127" i="2" s="1"/>
  <c r="M128" i="2"/>
  <c r="M221" i="2"/>
  <c r="M47" i="2"/>
  <c r="M18" i="2"/>
  <c r="M4" i="2"/>
  <c r="M38" i="2"/>
  <c r="M41" i="2"/>
  <c r="M51" i="2"/>
  <c r="N51" i="2" s="1"/>
  <c r="M57" i="2"/>
  <c r="M122" i="2"/>
  <c r="M149" i="2"/>
  <c r="R149" i="2" s="1"/>
  <c r="M175" i="2"/>
  <c r="M184" i="2"/>
  <c r="M193" i="2"/>
  <c r="M198" i="2"/>
  <c r="M205" i="2"/>
  <c r="M211" i="2"/>
  <c r="M305" i="2"/>
  <c r="N305" i="2" s="1"/>
  <c r="M260" i="2"/>
  <c r="M288" i="2"/>
  <c r="M315" i="2"/>
  <c r="M340" i="2"/>
  <c r="M349" i="2"/>
  <c r="M353" i="2"/>
  <c r="M356" i="2"/>
  <c r="M385" i="2"/>
  <c r="N385" i="2" s="1"/>
  <c r="M36" i="2"/>
  <c r="N36" i="2" s="1"/>
  <c r="M44" i="2"/>
  <c r="M440" i="2"/>
  <c r="M69" i="2"/>
  <c r="M237" i="2"/>
  <c r="N237" i="2" s="1"/>
  <c r="M88" i="2"/>
  <c r="M164" i="2"/>
  <c r="M123" i="2"/>
  <c r="M140" i="2"/>
  <c r="M150" i="2"/>
  <c r="M409" i="2"/>
  <c r="M159" i="2"/>
  <c r="M162" i="2"/>
  <c r="M188" i="2"/>
  <c r="M207" i="2"/>
  <c r="M209" i="2"/>
  <c r="M269" i="2"/>
  <c r="M230" i="2"/>
  <c r="M248" i="2"/>
  <c r="M277" i="2"/>
  <c r="M289" i="2"/>
  <c r="M307" i="2"/>
  <c r="M319" i="2"/>
  <c r="M350" i="2"/>
  <c r="M357" i="2"/>
  <c r="M6" i="2"/>
  <c r="N6" i="2" s="1"/>
  <c r="M253" i="2"/>
  <c r="M24" i="2"/>
  <c r="M138" i="2"/>
  <c r="M37" i="2"/>
  <c r="M52" i="2"/>
  <c r="N52" i="2" s="1"/>
  <c r="M59" i="2"/>
  <c r="M75" i="2"/>
  <c r="M76" i="2"/>
  <c r="M94" i="2"/>
  <c r="M165" i="2"/>
  <c r="M124" i="2"/>
  <c r="M156" i="2"/>
  <c r="M178" i="2"/>
  <c r="M189" i="2"/>
  <c r="N189" i="2" s="1"/>
  <c r="M210" i="2"/>
  <c r="R210" i="2" s="1"/>
  <c r="M225" i="2"/>
  <c r="R225" i="2" s="1"/>
  <c r="M216" i="2"/>
  <c r="M256" i="2"/>
  <c r="M261" i="2"/>
  <c r="M262" i="2"/>
  <c r="M236" i="2"/>
  <c r="M323" i="2"/>
  <c r="M333" i="2"/>
  <c r="M342" i="2"/>
  <c r="M347" i="2"/>
  <c r="N347" i="2" s="1"/>
  <c r="M362" i="2"/>
  <c r="R362" i="2" s="1"/>
  <c r="M377" i="2"/>
  <c r="N377" i="2" s="1"/>
  <c r="M383" i="2"/>
  <c r="M16" i="2"/>
  <c r="M42" i="2"/>
  <c r="M55" i="2"/>
  <c r="M77" i="2"/>
  <c r="M81" i="2"/>
  <c r="N81" i="2" s="1"/>
  <c r="M105" i="2"/>
  <c r="R105" i="2" s="1"/>
  <c r="M108" i="2"/>
  <c r="N108" i="2" s="1"/>
  <c r="M116" i="2"/>
  <c r="M394" i="2"/>
  <c r="M252" i="2"/>
  <c r="R252" i="2" s="1"/>
  <c r="M172" i="2"/>
  <c r="M179" i="2"/>
  <c r="R179" i="2" s="1"/>
  <c r="M183" i="2"/>
  <c r="N183" i="2" s="1"/>
  <c r="M185" i="2"/>
  <c r="M203" i="2"/>
  <c r="M217" i="2"/>
  <c r="M228" i="2"/>
  <c r="R228" i="2" s="1"/>
  <c r="M240" i="2"/>
  <c r="N240" i="2" s="1"/>
  <c r="M251" i="2"/>
  <c r="M274" i="2"/>
  <c r="M328" i="2"/>
  <c r="M334" i="2"/>
  <c r="M336" i="2"/>
  <c r="M358" i="2"/>
  <c r="N358" i="2" s="1"/>
  <c r="M360" i="2"/>
  <c r="N360" i="2" s="1"/>
  <c r="M363" i="2"/>
  <c r="M366" i="2"/>
  <c r="M17" i="2"/>
  <c r="M26" i="2"/>
  <c r="M71" i="2"/>
  <c r="R71" i="2" s="1"/>
  <c r="M73" i="2"/>
  <c r="M78" i="2"/>
  <c r="M103" i="2"/>
  <c r="N103" i="2" s="1"/>
  <c r="M117" i="2"/>
  <c r="M166" i="2"/>
  <c r="M129" i="2"/>
  <c r="N129" i="2" s="1"/>
  <c r="M145" i="2"/>
  <c r="M151" i="2"/>
  <c r="N151" i="2" s="1"/>
  <c r="M154" i="2"/>
  <c r="N154" i="2" s="1"/>
  <c r="M157" i="2"/>
  <c r="N157" i="2" s="1"/>
  <c r="M170" i="2"/>
  <c r="M174" i="2"/>
  <c r="M180" i="2"/>
  <c r="M199" i="2"/>
  <c r="M212" i="2"/>
  <c r="M218" i="2"/>
  <c r="M226" i="2"/>
  <c r="M257" i="2"/>
  <c r="N257" i="2" s="1"/>
  <c r="M104" i="2"/>
  <c r="R104" i="2" s="1"/>
  <c r="M292" i="2"/>
  <c r="M322" i="2"/>
  <c r="R322" i="2" s="1"/>
  <c r="M339" i="2"/>
  <c r="N339" i="2" s="1"/>
  <c r="M375" i="2"/>
  <c r="M376" i="2"/>
  <c r="N376" i="2" s="1"/>
  <c r="M380" i="2"/>
  <c r="M5" i="2"/>
  <c r="N5" i="2" s="1"/>
  <c r="M8" i="2"/>
  <c r="M20" i="2"/>
  <c r="M60" i="2"/>
  <c r="M70" i="2"/>
  <c r="M74" i="2"/>
  <c r="N74" i="2" s="1"/>
  <c r="M379" i="2"/>
  <c r="M80" i="2"/>
  <c r="M91" i="2"/>
  <c r="R91" i="2" s="1"/>
  <c r="M95" i="2"/>
  <c r="M130" i="2"/>
  <c r="M195" i="2"/>
  <c r="M202" i="2"/>
  <c r="M208" i="2"/>
  <c r="M244" i="2"/>
  <c r="N244" i="2" s="1"/>
  <c r="M279" i="2"/>
  <c r="R279" i="2" s="1"/>
  <c r="M370" i="2"/>
  <c r="R370" i="2" s="1"/>
  <c r="M293" i="2"/>
  <c r="M296" i="2"/>
  <c r="N296" i="2" s="1"/>
  <c r="M303" i="2"/>
  <c r="M304" i="2"/>
  <c r="M306" i="2"/>
  <c r="M330" i="2"/>
  <c r="M348" i="2"/>
  <c r="M352" i="2"/>
  <c r="M364" i="2"/>
  <c r="N364" i="2" s="1"/>
  <c r="M372" i="2"/>
  <c r="M381" i="2"/>
  <c r="M9" i="2"/>
  <c r="N9" i="2" s="1"/>
  <c r="M21" i="2"/>
  <c r="M29" i="2"/>
  <c r="M40" i="2"/>
  <c r="N40" i="2" s="1"/>
  <c r="M53" i="2"/>
  <c r="M61" i="2"/>
  <c r="M64" i="2"/>
  <c r="M92" i="2"/>
  <c r="M125" i="2"/>
  <c r="R125" i="2" s="1"/>
  <c r="M135" i="2"/>
  <c r="N135" i="2" s="1"/>
  <c r="M160" i="2"/>
  <c r="M136" i="2"/>
  <c r="M177" i="2"/>
  <c r="M223" i="2"/>
  <c r="N223" i="2" s="1"/>
  <c r="M231" i="2"/>
  <c r="N231" i="2" s="1"/>
  <c r="M234" i="2"/>
  <c r="R234" i="2" s="1"/>
  <c r="M245" i="2"/>
  <c r="N245" i="2" s="1"/>
  <c r="M255" i="2"/>
  <c r="M283" i="2"/>
  <c r="M371" i="2"/>
  <c r="M291" i="2"/>
  <c r="M294" i="2"/>
  <c r="M359" i="2"/>
  <c r="M373" i="2"/>
  <c r="M93" i="2"/>
  <c r="M118" i="2"/>
  <c r="R118" i="2" s="1"/>
  <c r="M317" i="2"/>
  <c r="R317" i="2" s="1"/>
  <c r="M355" i="2"/>
  <c r="M233" i="2"/>
  <c r="M405" i="2"/>
  <c r="M287" i="2"/>
  <c r="M395" i="2"/>
  <c r="N395" i="2" s="1"/>
  <c r="M397" i="2"/>
  <c r="M408" i="2"/>
  <c r="M412" i="2"/>
  <c r="N412" i="2" s="1"/>
  <c r="M424" i="2"/>
  <c r="R424" i="2" s="1"/>
  <c r="M354" i="2"/>
  <c r="R354" i="2" s="1"/>
  <c r="M444" i="2"/>
  <c r="N444" i="2" s="1"/>
  <c r="M43" i="2"/>
  <c r="N43" i="2" s="1"/>
  <c r="M65" i="2"/>
  <c r="M276" i="2"/>
  <c r="M346" i="2"/>
  <c r="M396" i="2"/>
  <c r="N396" i="2" s="1"/>
  <c r="M403" i="2"/>
  <c r="N403" i="2" s="1"/>
  <c r="M419" i="2"/>
  <c r="M422" i="2"/>
  <c r="M434" i="2"/>
  <c r="M435" i="2"/>
  <c r="M441" i="2"/>
  <c r="M445" i="2"/>
  <c r="M147" i="2"/>
  <c r="M398" i="2"/>
  <c r="M406" i="2"/>
  <c r="N406" i="2" s="1"/>
  <c r="M407" i="2"/>
  <c r="N407" i="2" s="1"/>
  <c r="M430" i="2"/>
  <c r="M436" i="2"/>
  <c r="M446" i="2"/>
  <c r="M425" i="2"/>
  <c r="M433" i="2"/>
  <c r="M338" i="2"/>
  <c r="M66" i="2"/>
  <c r="N66" i="2" s="1"/>
  <c r="M58" i="2"/>
  <c r="M107" i="2"/>
  <c r="M267" i="2"/>
  <c r="M387" i="2"/>
  <c r="M416" i="2"/>
  <c r="N416" i="2" s="1"/>
  <c r="M428" i="2"/>
  <c r="M324" i="2"/>
  <c r="M402" i="2"/>
  <c r="M96" i="2"/>
  <c r="N96" i="2" s="1"/>
  <c r="M119" i="2"/>
  <c r="M239" i="2"/>
  <c r="M316" i="2"/>
  <c r="M368" i="2"/>
  <c r="M389" i="2"/>
  <c r="N389" i="2" s="1"/>
  <c r="M393" i="2"/>
  <c r="M414" i="2"/>
  <c r="M404" i="2"/>
  <c r="M410" i="2"/>
  <c r="M417" i="2"/>
  <c r="M429" i="2"/>
  <c r="M415" i="2"/>
  <c r="M427" i="2"/>
  <c r="M153" i="2"/>
  <c r="N153" i="2" s="1"/>
  <c r="M206" i="2"/>
  <c r="M432" i="2"/>
  <c r="M191" i="2"/>
  <c r="N191" i="2" s="1"/>
  <c r="O388" i="2" l="1"/>
  <c r="P388" i="2" s="1"/>
  <c r="R444" i="2"/>
  <c r="R282" i="2"/>
  <c r="N282" i="2"/>
  <c r="R277" i="2"/>
  <c r="N277" i="2"/>
  <c r="R260" i="2"/>
  <c r="N260" i="2"/>
  <c r="O190" i="2"/>
  <c r="P190" i="2" s="1"/>
  <c r="R189" i="2"/>
  <c r="R167" i="2"/>
  <c r="N167" i="2"/>
  <c r="R153" i="2"/>
  <c r="O142" i="2"/>
  <c r="P142" i="2" s="1"/>
  <c r="N142" i="2"/>
  <c r="R273" i="2"/>
  <c r="N273" i="2"/>
  <c r="O220" i="2"/>
  <c r="P220" i="2" s="1"/>
  <c r="N220" i="2"/>
  <c r="R45" i="2"/>
  <c r="N45" i="2"/>
  <c r="O45" i="2"/>
  <c r="P45" i="2" s="1"/>
  <c r="O137" i="2"/>
  <c r="P137" i="2" s="1"/>
  <c r="R137" i="2"/>
  <c r="N137" i="2"/>
  <c r="O326" i="2"/>
  <c r="P326" i="2" s="1"/>
  <c r="N326" i="2"/>
  <c r="R326" i="2"/>
  <c r="O161" i="2"/>
  <c r="P161" i="2" s="1"/>
  <c r="N161" i="2"/>
  <c r="R161" i="2"/>
  <c r="N247" i="2"/>
  <c r="O247" i="2"/>
  <c r="P247" i="2" s="1"/>
  <c r="N49" i="2"/>
  <c r="R49" i="2"/>
  <c r="O49" i="2"/>
  <c r="P49" i="2" s="1"/>
  <c r="O167" i="2"/>
  <c r="P167" i="2" s="1"/>
  <c r="Q167" i="2"/>
  <c r="R331" i="2"/>
  <c r="O331" i="2"/>
  <c r="P331" i="2" s="1"/>
  <c r="N331" i="2"/>
  <c r="N337" i="2"/>
  <c r="P337" i="2"/>
  <c r="Q337" i="2"/>
  <c r="R337" i="2"/>
  <c r="O126" i="2"/>
  <c r="P126" i="2" s="1"/>
  <c r="R126" i="2"/>
  <c r="N126" i="2"/>
  <c r="O265" i="2"/>
  <c r="P265" i="2" s="1"/>
  <c r="R265" i="2"/>
  <c r="N265" i="2"/>
  <c r="R369" i="2"/>
  <c r="N369" i="2"/>
  <c r="P369" i="2"/>
  <c r="Q369" i="2"/>
  <c r="O351" i="2"/>
  <c r="N351" i="2"/>
  <c r="Q351" i="2"/>
  <c r="P351" i="2"/>
  <c r="O282" i="2"/>
  <c r="P282" i="2" s="1"/>
  <c r="Q282" i="2"/>
  <c r="Q190" i="2"/>
  <c r="R190" i="2"/>
  <c r="O273" i="2"/>
  <c r="P273" i="2" s="1"/>
  <c r="O194" i="2"/>
  <c r="P194" i="2" s="1"/>
  <c r="N194" i="2"/>
  <c r="R194" i="2"/>
  <c r="Q388" i="2"/>
  <c r="R388" i="2"/>
  <c r="Q142" i="2"/>
  <c r="R142" i="2"/>
  <c r="R86" i="2"/>
  <c r="O86" i="2"/>
  <c r="P86" i="2" s="1"/>
  <c r="N86" i="2"/>
  <c r="O99" i="2"/>
  <c r="P99" i="2" s="1"/>
  <c r="N99" i="2"/>
  <c r="O283" i="2"/>
  <c r="P283" i="2" s="1"/>
  <c r="R283" i="2"/>
  <c r="O88" i="2"/>
  <c r="P88" i="2" s="1"/>
  <c r="R88" i="2"/>
  <c r="O147" i="2"/>
  <c r="P147" i="2" s="1"/>
  <c r="R147" i="2"/>
  <c r="R415" i="2"/>
  <c r="Q402" i="2"/>
  <c r="R402" i="2"/>
  <c r="R416" i="2"/>
  <c r="Q445" i="2"/>
  <c r="R445" i="2"/>
  <c r="R396" i="2"/>
  <c r="R397" i="2"/>
  <c r="R291" i="2"/>
  <c r="Q40" i="2"/>
  <c r="R40" i="2"/>
  <c r="R9" i="2"/>
  <c r="Q372" i="2"/>
  <c r="R372" i="2"/>
  <c r="R296" i="2"/>
  <c r="R60" i="2"/>
  <c r="R20" i="2"/>
  <c r="Q218" i="2"/>
  <c r="R218" i="2"/>
  <c r="R157" i="2"/>
  <c r="Q117" i="2"/>
  <c r="R117" i="2"/>
  <c r="Q26" i="2"/>
  <c r="R26" i="2"/>
  <c r="Q274" i="2"/>
  <c r="R274" i="2"/>
  <c r="R240" i="2"/>
  <c r="Q81" i="2"/>
  <c r="R81" i="2"/>
  <c r="R261" i="2"/>
  <c r="Q94" i="2"/>
  <c r="R94" i="2"/>
  <c r="R253" i="2"/>
  <c r="R289" i="2"/>
  <c r="R230" i="2"/>
  <c r="R162" i="2"/>
  <c r="Q123" i="2"/>
  <c r="R123" i="2"/>
  <c r="R237" i="2"/>
  <c r="R356" i="2"/>
  <c r="Q288" i="2"/>
  <c r="R288" i="2"/>
  <c r="R193" i="2"/>
  <c r="R41" i="2"/>
  <c r="R4" i="2"/>
  <c r="R243" i="2"/>
  <c r="Q437" i="2"/>
  <c r="R437" i="2"/>
  <c r="R90" i="2"/>
  <c r="Q393" i="2"/>
  <c r="R393" i="2"/>
  <c r="Q239" i="2"/>
  <c r="R239" i="2"/>
  <c r="Q107" i="2"/>
  <c r="R107" i="2"/>
  <c r="Q407" i="2"/>
  <c r="R407" i="2"/>
  <c r="Q65" i="2"/>
  <c r="R65" i="2"/>
  <c r="Q395" i="2"/>
  <c r="R395" i="2"/>
  <c r="R371" i="2"/>
  <c r="R231" i="2"/>
  <c r="R177" i="2"/>
  <c r="R135" i="2"/>
  <c r="R92" i="2"/>
  <c r="Q364" i="2"/>
  <c r="R364" i="2"/>
  <c r="Q293" i="2"/>
  <c r="R293" i="2"/>
  <c r="Q202" i="2"/>
  <c r="R202" i="2"/>
  <c r="R80" i="2"/>
  <c r="R154" i="2"/>
  <c r="R73" i="2"/>
  <c r="R116" i="2"/>
  <c r="R77" i="2"/>
  <c r="Q55" i="2"/>
  <c r="R55" i="2"/>
  <c r="R16" i="2"/>
  <c r="R333" i="2"/>
  <c r="Q6" i="2"/>
  <c r="R6" i="2"/>
  <c r="R159" i="2"/>
  <c r="R69" i="2"/>
  <c r="Q353" i="2"/>
  <c r="R353" i="2"/>
  <c r="R184" i="2"/>
  <c r="Q38" i="2"/>
  <c r="R38" i="2"/>
  <c r="R18" i="2"/>
  <c r="R47" i="2"/>
  <c r="Q127" i="2"/>
  <c r="R127" i="2"/>
  <c r="R201" i="2"/>
  <c r="R120" i="2"/>
  <c r="R389" i="2"/>
  <c r="Q433" i="2"/>
  <c r="R433" i="2"/>
  <c r="R406" i="2"/>
  <c r="R441" i="2"/>
  <c r="Q422" i="2"/>
  <c r="R422" i="2"/>
  <c r="R346" i="2"/>
  <c r="Q287" i="2"/>
  <c r="R287" i="2"/>
  <c r="R355" i="2"/>
  <c r="R255" i="2"/>
  <c r="Q195" i="2"/>
  <c r="R195" i="2"/>
  <c r="R379" i="2"/>
  <c r="Q8" i="2"/>
  <c r="R8" i="2"/>
  <c r="Q257" i="2"/>
  <c r="R257" i="2"/>
  <c r="R212" i="2"/>
  <c r="Q151" i="2"/>
  <c r="R151" i="2"/>
  <c r="R103" i="2"/>
  <c r="R17" i="2"/>
  <c r="R336" i="2"/>
  <c r="R108" i="2"/>
  <c r="Q256" i="2"/>
  <c r="R256" i="2"/>
  <c r="R59" i="2"/>
  <c r="R164" i="2"/>
  <c r="R36" i="2"/>
  <c r="R349" i="2"/>
  <c r="R308" i="2"/>
  <c r="R39" i="2"/>
  <c r="R139" i="2"/>
  <c r="Q432" i="2"/>
  <c r="R432" i="2"/>
  <c r="Q429" i="2"/>
  <c r="R429" i="2"/>
  <c r="Q58" i="2"/>
  <c r="R58" i="2"/>
  <c r="R425" i="2"/>
  <c r="R398" i="2"/>
  <c r="Q419" i="2"/>
  <c r="R419" i="2"/>
  <c r="Q276" i="2"/>
  <c r="R276" i="2"/>
  <c r="R43" i="2"/>
  <c r="R93" i="2"/>
  <c r="R223" i="2"/>
  <c r="Q29" i="2"/>
  <c r="R29" i="2"/>
  <c r="R352" i="2"/>
  <c r="Q130" i="2"/>
  <c r="R130" i="2"/>
  <c r="Q74" i="2"/>
  <c r="R74" i="2"/>
  <c r="Q5" i="2"/>
  <c r="R5" i="2"/>
  <c r="R180" i="2"/>
  <c r="Q145" i="2"/>
  <c r="R145" i="2"/>
  <c r="R366" i="2"/>
  <c r="Q334" i="2"/>
  <c r="R334" i="2"/>
  <c r="R394" i="2"/>
  <c r="Q323" i="2"/>
  <c r="R323" i="2"/>
  <c r="R52" i="2"/>
  <c r="Q319" i="2"/>
  <c r="R319" i="2"/>
  <c r="Q188" i="2"/>
  <c r="R188" i="2"/>
  <c r="R409" i="2"/>
  <c r="R211" i="2"/>
  <c r="Q175" i="2"/>
  <c r="R175" i="2"/>
  <c r="R368" i="2"/>
  <c r="Q119" i="2"/>
  <c r="R119" i="2"/>
  <c r="Q387" i="2"/>
  <c r="R387" i="2"/>
  <c r="Q446" i="2"/>
  <c r="R446" i="2"/>
  <c r="Q435" i="2"/>
  <c r="R435" i="2"/>
  <c r="Q405" i="2"/>
  <c r="R405" i="2"/>
  <c r="Q373" i="2"/>
  <c r="R373" i="2"/>
  <c r="R136" i="2"/>
  <c r="R348" i="2"/>
  <c r="Q244" i="2"/>
  <c r="R244" i="2"/>
  <c r="R380" i="2"/>
  <c r="Q292" i="2"/>
  <c r="R292" i="2"/>
  <c r="Q174" i="2"/>
  <c r="R174" i="2"/>
  <c r="R363" i="2"/>
  <c r="Q217" i="2"/>
  <c r="R217" i="2"/>
  <c r="R185" i="2"/>
  <c r="Q124" i="2"/>
  <c r="R124" i="2"/>
  <c r="R76" i="2"/>
  <c r="R37" i="2"/>
  <c r="R269" i="2"/>
  <c r="Q340" i="2"/>
  <c r="R340" i="2"/>
  <c r="Q205" i="2"/>
  <c r="R205" i="2"/>
  <c r="R221" i="2"/>
  <c r="R14" i="2"/>
  <c r="Q191" i="2"/>
  <c r="R191" i="2"/>
  <c r="Q417" i="2"/>
  <c r="R417" i="2"/>
  <c r="R410" i="2"/>
  <c r="Q96" i="2"/>
  <c r="R96" i="2"/>
  <c r="R324" i="2"/>
  <c r="R66" i="2"/>
  <c r="Q436" i="2"/>
  <c r="R436" i="2"/>
  <c r="Q434" i="2"/>
  <c r="R434" i="2"/>
  <c r="R233" i="2"/>
  <c r="Q245" i="2"/>
  <c r="R245" i="2"/>
  <c r="R160" i="2"/>
  <c r="R64" i="2"/>
  <c r="R21" i="2"/>
  <c r="R381" i="2"/>
  <c r="Q306" i="2"/>
  <c r="R306" i="2"/>
  <c r="R170" i="2"/>
  <c r="Q129" i="2"/>
  <c r="R129" i="2"/>
  <c r="R360" i="2"/>
  <c r="R328" i="2"/>
  <c r="Q183" i="2"/>
  <c r="R183" i="2"/>
  <c r="R42" i="2"/>
  <c r="Q383" i="2"/>
  <c r="R383" i="2"/>
  <c r="Q347" i="2"/>
  <c r="R347" i="2"/>
  <c r="R236" i="2"/>
  <c r="R216" i="2"/>
  <c r="Q178" i="2"/>
  <c r="R178" i="2"/>
  <c r="R357" i="2"/>
  <c r="R307" i="2"/>
  <c r="Q248" i="2"/>
  <c r="R248" i="2"/>
  <c r="R150" i="2"/>
  <c r="R385" i="2"/>
  <c r="Q122" i="2"/>
  <c r="R122" i="2"/>
  <c r="R57" i="2"/>
  <c r="R87" i="2"/>
  <c r="Q98" i="2"/>
  <c r="R98" i="2"/>
  <c r="R427" i="2"/>
  <c r="Q404" i="2"/>
  <c r="R404" i="2"/>
  <c r="R316" i="2"/>
  <c r="Q428" i="2"/>
  <c r="R428" i="2"/>
  <c r="R267" i="2"/>
  <c r="R403" i="2"/>
  <c r="R412" i="2"/>
  <c r="R61" i="2"/>
  <c r="R330" i="2"/>
  <c r="R304" i="2"/>
  <c r="Q70" i="2"/>
  <c r="R70" i="2"/>
  <c r="Q376" i="2"/>
  <c r="R376" i="2"/>
  <c r="R339" i="2"/>
  <c r="Q226" i="2"/>
  <c r="R226" i="2"/>
  <c r="R199" i="2"/>
  <c r="Q203" i="2"/>
  <c r="R203" i="2"/>
  <c r="Q262" i="2"/>
  <c r="R262" i="2"/>
  <c r="Q156" i="2"/>
  <c r="R156" i="2"/>
  <c r="R165" i="2"/>
  <c r="R75" i="2"/>
  <c r="R138" i="2"/>
  <c r="Q350" i="2"/>
  <c r="R350" i="2"/>
  <c r="Q209" i="2"/>
  <c r="R209" i="2"/>
  <c r="R140" i="2"/>
  <c r="R440" i="2"/>
  <c r="Q315" i="2"/>
  <c r="R315" i="2"/>
  <c r="Q198" i="2"/>
  <c r="R198" i="2"/>
  <c r="Q51" i="2"/>
  <c r="R51" i="2"/>
  <c r="R128" i="2"/>
  <c r="R152" i="2"/>
  <c r="Q200" i="2"/>
  <c r="R200" i="2"/>
  <c r="R143" i="2"/>
  <c r="R335" i="2"/>
  <c r="Q54" i="2"/>
  <c r="R54" i="2"/>
  <c r="R206" i="2"/>
  <c r="R414" i="2"/>
  <c r="Q338" i="2"/>
  <c r="R338" i="2"/>
  <c r="R430" i="2"/>
  <c r="Q408" i="2"/>
  <c r="R408" i="2"/>
  <c r="R359" i="2"/>
  <c r="Q294" i="2"/>
  <c r="R294" i="2"/>
  <c r="Q53" i="2"/>
  <c r="R53" i="2"/>
  <c r="R303" i="2"/>
  <c r="Q208" i="2"/>
  <c r="R208" i="2"/>
  <c r="R95" i="2"/>
  <c r="R375" i="2"/>
  <c r="R166" i="2"/>
  <c r="R78" i="2"/>
  <c r="Q358" i="2"/>
  <c r="R358" i="2"/>
  <c r="Q251" i="2"/>
  <c r="R251" i="2"/>
  <c r="Q172" i="2"/>
  <c r="R172" i="2"/>
  <c r="R377" i="2"/>
  <c r="Q342" i="2"/>
  <c r="R342" i="2"/>
  <c r="R24" i="2"/>
  <c r="Q207" i="2"/>
  <c r="R207" i="2"/>
  <c r="Q44" i="2"/>
  <c r="R44" i="2"/>
  <c r="R305" i="2"/>
  <c r="Q219" i="2"/>
  <c r="R219" i="2"/>
  <c r="R259" i="2"/>
  <c r="R312" i="2"/>
  <c r="P314" i="2"/>
  <c r="P200" i="2"/>
  <c r="O129" i="2"/>
  <c r="P129" i="2" s="1"/>
  <c r="O427" i="2"/>
  <c r="P427" i="2" s="1"/>
  <c r="O404" i="2"/>
  <c r="P404" i="2"/>
  <c r="O316" i="2"/>
  <c r="P316" i="2" s="1"/>
  <c r="O428" i="2"/>
  <c r="P428" i="2"/>
  <c r="O267" i="2"/>
  <c r="P267" i="2" s="1"/>
  <c r="O403" i="2"/>
  <c r="P403" i="2" s="1"/>
  <c r="O412" i="2"/>
  <c r="P412" i="2" s="1"/>
  <c r="O61" i="2"/>
  <c r="P61" i="2" s="1"/>
  <c r="O330" i="2"/>
  <c r="P330" i="2" s="1"/>
  <c r="O304" i="2"/>
  <c r="P304" i="2" s="1"/>
  <c r="O70" i="2"/>
  <c r="P70" i="2"/>
  <c r="O376" i="2"/>
  <c r="P376" i="2" s="1"/>
  <c r="O339" i="2"/>
  <c r="P339" i="2" s="1"/>
  <c r="O226" i="2"/>
  <c r="P226" i="2"/>
  <c r="O199" i="2"/>
  <c r="P199" i="2" s="1"/>
  <c r="O203" i="2"/>
  <c r="P203" i="2"/>
  <c r="O179" i="2"/>
  <c r="Q179" i="2" s="1"/>
  <c r="P179" i="2"/>
  <c r="O262" i="2"/>
  <c r="P262" i="2"/>
  <c r="O156" i="2"/>
  <c r="P156" i="2"/>
  <c r="O165" i="2"/>
  <c r="P165" i="2" s="1"/>
  <c r="O75" i="2"/>
  <c r="P75" i="2" s="1"/>
  <c r="O138" i="2"/>
  <c r="O350" i="2"/>
  <c r="P350" i="2"/>
  <c r="O209" i="2"/>
  <c r="P209" i="2"/>
  <c r="O140" i="2"/>
  <c r="P140" i="2" s="1"/>
  <c r="O440" i="2"/>
  <c r="P440" i="2" s="1"/>
  <c r="O315" i="2"/>
  <c r="P315" i="2"/>
  <c r="O198" i="2"/>
  <c r="P198" i="2"/>
  <c r="O51" i="2"/>
  <c r="P51" i="2" s="1"/>
  <c r="O128" i="2"/>
  <c r="P128" i="2" s="1"/>
  <c r="O152" i="2"/>
  <c r="P152" i="2" s="1"/>
  <c r="O143" i="2"/>
  <c r="P143" i="2" s="1"/>
  <c r="O335" i="2"/>
  <c r="P335" i="2" s="1"/>
  <c r="O54" i="2"/>
  <c r="P54" i="2" s="1"/>
  <c r="O436" i="2"/>
  <c r="P436" i="2"/>
  <c r="O233" i="2"/>
  <c r="P233" i="2" s="1"/>
  <c r="O381" i="2"/>
  <c r="P381" i="2" s="1"/>
  <c r="O42" i="2"/>
  <c r="P42" i="2" s="1"/>
  <c r="O178" i="2"/>
  <c r="P178" i="2"/>
  <c r="O277" i="2"/>
  <c r="Q277" i="2" s="1"/>
  <c r="O385" i="2"/>
  <c r="P385" i="2" s="1"/>
  <c r="O414" i="2"/>
  <c r="P414" i="2" s="1"/>
  <c r="O338" i="2"/>
  <c r="P338" i="2"/>
  <c r="O430" i="2"/>
  <c r="P430" i="2" s="1"/>
  <c r="O408" i="2"/>
  <c r="P408" i="2"/>
  <c r="O359" i="2"/>
  <c r="P359" i="2" s="1"/>
  <c r="O294" i="2"/>
  <c r="P294" i="2"/>
  <c r="O53" i="2"/>
  <c r="P53" i="2"/>
  <c r="O303" i="2"/>
  <c r="P303" i="2" s="1"/>
  <c r="O279" i="2"/>
  <c r="Q279" i="2" s="1"/>
  <c r="P279" i="2"/>
  <c r="O208" i="2"/>
  <c r="P208" i="2"/>
  <c r="O95" i="2"/>
  <c r="P95" i="2" s="1"/>
  <c r="O375" i="2"/>
  <c r="P375" i="2" s="1"/>
  <c r="O322" i="2"/>
  <c r="Q322" i="2" s="1"/>
  <c r="P322" i="2"/>
  <c r="O104" i="2"/>
  <c r="Q104" i="2" s="1"/>
  <c r="P104" i="2"/>
  <c r="O166" i="2"/>
  <c r="P166" i="2" s="1"/>
  <c r="O78" i="2"/>
  <c r="P78" i="2" s="1"/>
  <c r="O358" i="2"/>
  <c r="P358" i="2" s="1"/>
  <c r="O251" i="2"/>
  <c r="P251" i="2"/>
  <c r="O172" i="2"/>
  <c r="P172" i="2"/>
  <c r="O377" i="2"/>
  <c r="P377" i="2" s="1"/>
  <c r="O342" i="2"/>
  <c r="P342" i="2"/>
  <c r="O210" i="2"/>
  <c r="Q210" i="2" s="1"/>
  <c r="P210" i="2"/>
  <c r="O24" i="2"/>
  <c r="P24" i="2" s="1"/>
  <c r="O207" i="2"/>
  <c r="P207" i="2"/>
  <c r="O44" i="2"/>
  <c r="P44" i="2"/>
  <c r="O305" i="2"/>
  <c r="P305" i="2" s="1"/>
  <c r="O219" i="2"/>
  <c r="P219" i="2"/>
  <c r="O259" i="2"/>
  <c r="O410" i="2"/>
  <c r="P410" i="2" s="1"/>
  <c r="O424" i="2"/>
  <c r="Q424" i="2" s="1"/>
  <c r="P424" i="2"/>
  <c r="O160" i="2"/>
  <c r="P160" i="2" s="1"/>
  <c r="O105" i="2"/>
  <c r="Q105" i="2" s="1"/>
  <c r="P105" i="2"/>
  <c r="O150" i="2"/>
  <c r="P150" i="2" s="1"/>
  <c r="O393" i="2"/>
  <c r="P393" i="2"/>
  <c r="O402" i="2"/>
  <c r="P402" i="2"/>
  <c r="O416" i="2"/>
  <c r="P416" i="2" s="1"/>
  <c r="O445" i="2"/>
  <c r="P445" i="2"/>
  <c r="O396" i="2"/>
  <c r="P396" i="2" s="1"/>
  <c r="O397" i="2"/>
  <c r="P397" i="2" s="1"/>
  <c r="O291" i="2"/>
  <c r="P291" i="2" s="1"/>
  <c r="O234" i="2"/>
  <c r="Q234" i="2" s="1"/>
  <c r="P234" i="2"/>
  <c r="O40" i="2"/>
  <c r="O9" i="2"/>
  <c r="P9" i="2" s="1"/>
  <c r="O372" i="2"/>
  <c r="P372" i="2"/>
  <c r="O296" i="2"/>
  <c r="P296" i="2" s="1"/>
  <c r="O91" i="2"/>
  <c r="Q91" i="2" s="1"/>
  <c r="P91" i="2"/>
  <c r="O60" i="2"/>
  <c r="P60" i="2" s="1"/>
  <c r="O20" i="2"/>
  <c r="O218" i="2"/>
  <c r="P218" i="2"/>
  <c r="O157" i="2"/>
  <c r="P157" i="2" s="1"/>
  <c r="O117" i="2"/>
  <c r="P117" i="2"/>
  <c r="O26" i="2"/>
  <c r="P26" i="2"/>
  <c r="O274" i="2"/>
  <c r="P274" i="2"/>
  <c r="O240" i="2"/>
  <c r="P240" i="2" s="1"/>
  <c r="O81" i="2"/>
  <c r="P81" i="2" s="1"/>
  <c r="O261" i="2"/>
  <c r="P261" i="2" s="1"/>
  <c r="O94" i="2"/>
  <c r="P94" i="2"/>
  <c r="O253" i="2"/>
  <c r="P253" i="2" s="1"/>
  <c r="O289" i="2"/>
  <c r="P289" i="2" s="1"/>
  <c r="O230" i="2"/>
  <c r="P230" i="2" s="1"/>
  <c r="O162" i="2"/>
  <c r="P162" i="2" s="1"/>
  <c r="O123" i="2"/>
  <c r="P123" i="2"/>
  <c r="O237" i="2"/>
  <c r="P237" i="2" s="1"/>
  <c r="O356" i="2"/>
  <c r="P356" i="2" s="1"/>
  <c r="O288" i="2"/>
  <c r="P288" i="2"/>
  <c r="O193" i="2"/>
  <c r="P193" i="2" s="1"/>
  <c r="O41" i="2"/>
  <c r="P41" i="2" s="1"/>
  <c r="O4" i="2"/>
  <c r="O243" i="2"/>
  <c r="P243" i="2" s="1"/>
  <c r="O437" i="2"/>
  <c r="P437" i="2" s="1"/>
  <c r="O90" i="2"/>
  <c r="P90" i="2" s="1"/>
  <c r="O324" i="2"/>
  <c r="P324" i="2" s="1"/>
  <c r="O64" i="2"/>
  <c r="O383" i="2"/>
  <c r="P383" i="2"/>
  <c r="O357" i="2"/>
  <c r="P357" i="2" s="1"/>
  <c r="O206" i="2"/>
  <c r="P206" i="2" s="1"/>
  <c r="O153" i="2"/>
  <c r="Q153" i="2" s="1"/>
  <c r="O239" i="2"/>
  <c r="P239" i="2"/>
  <c r="O107" i="2"/>
  <c r="P107" i="2"/>
  <c r="O407" i="2"/>
  <c r="P407" i="2" s="1"/>
  <c r="O65" i="2"/>
  <c r="P65" i="2"/>
  <c r="O444" i="2"/>
  <c r="Q444" i="2" s="1"/>
  <c r="P444" i="2"/>
  <c r="O395" i="2"/>
  <c r="P395" i="2" s="1"/>
  <c r="O371" i="2"/>
  <c r="P371" i="2" s="1"/>
  <c r="O231" i="2"/>
  <c r="P231" i="2" s="1"/>
  <c r="O177" i="2"/>
  <c r="P177" i="2" s="1"/>
  <c r="O135" i="2"/>
  <c r="P135" i="2" s="1"/>
  <c r="O92" i="2"/>
  <c r="P92" i="2" s="1"/>
  <c r="O364" i="2"/>
  <c r="P364" i="2" s="1"/>
  <c r="O293" i="2"/>
  <c r="P293" i="2"/>
  <c r="O202" i="2"/>
  <c r="P202" i="2"/>
  <c r="O80" i="2"/>
  <c r="P80" i="2" s="1"/>
  <c r="O154" i="2"/>
  <c r="P154" i="2" s="1"/>
  <c r="O73" i="2"/>
  <c r="P73" i="2" s="1"/>
  <c r="O228" i="2"/>
  <c r="Q228" i="2" s="1"/>
  <c r="O116" i="2"/>
  <c r="Q116" i="2" s="1"/>
  <c r="O77" i="2"/>
  <c r="P77" i="2" s="1"/>
  <c r="O55" i="2"/>
  <c r="P55" i="2"/>
  <c r="O16" i="2"/>
  <c r="P16" i="2" s="1"/>
  <c r="O333" i="2"/>
  <c r="P333" i="2" s="1"/>
  <c r="O225" i="2"/>
  <c r="Q225" i="2" s="1"/>
  <c r="P225" i="2"/>
  <c r="O6" i="2"/>
  <c r="O159" i="2"/>
  <c r="Q159" i="2" s="1"/>
  <c r="P159" i="2"/>
  <c r="O69" i="2"/>
  <c r="P69" i="2" s="1"/>
  <c r="O353" i="2"/>
  <c r="P353" i="2"/>
  <c r="O184" i="2"/>
  <c r="P184" i="2" s="1"/>
  <c r="O149" i="2"/>
  <c r="Q149" i="2" s="1"/>
  <c r="P149" i="2"/>
  <c r="O38" i="2"/>
  <c r="P38" i="2"/>
  <c r="O201" i="2"/>
  <c r="P201" i="2" s="1"/>
  <c r="O96" i="2"/>
  <c r="P96" i="2" s="1"/>
  <c r="O434" i="2"/>
  <c r="P434" i="2"/>
  <c r="O245" i="2"/>
  <c r="P245" i="2" s="1"/>
  <c r="O306" i="2"/>
  <c r="P306" i="2"/>
  <c r="O360" i="2"/>
  <c r="P360" i="2" s="1"/>
  <c r="O216" i="2"/>
  <c r="P216" i="2" s="1"/>
  <c r="O307" i="2"/>
  <c r="P307" i="2" s="1"/>
  <c r="O122" i="2"/>
  <c r="P122" i="2"/>
  <c r="O311" i="2"/>
  <c r="Q311" i="2" s="1"/>
  <c r="P311" i="2"/>
  <c r="O415" i="2"/>
  <c r="P415" i="2" s="1"/>
  <c r="O191" i="2"/>
  <c r="P191" i="2" s="1"/>
  <c r="O389" i="2"/>
  <c r="P389" i="2" s="1"/>
  <c r="O433" i="2"/>
  <c r="P433" i="2"/>
  <c r="O406" i="2"/>
  <c r="P406" i="2" s="1"/>
  <c r="O441" i="2"/>
  <c r="P441" i="2" s="1"/>
  <c r="O422" i="2"/>
  <c r="P422" i="2"/>
  <c r="O346" i="2"/>
  <c r="P346" i="2" s="1"/>
  <c r="O287" i="2"/>
  <c r="P287" i="2"/>
  <c r="O355" i="2"/>
  <c r="P355" i="2" s="1"/>
  <c r="O118" i="2"/>
  <c r="Q118" i="2" s="1"/>
  <c r="P118" i="2"/>
  <c r="O255" i="2"/>
  <c r="Q255" i="2" s="1"/>
  <c r="P255" i="2"/>
  <c r="O195" i="2"/>
  <c r="P195" i="2"/>
  <c r="O379" i="2"/>
  <c r="P379" i="2" s="1"/>
  <c r="O8" i="2"/>
  <c r="P8" i="2"/>
  <c r="O257" i="2"/>
  <c r="P257" i="2" s="1"/>
  <c r="O212" i="2"/>
  <c r="P212" i="2" s="1"/>
  <c r="O151" i="2"/>
  <c r="P151" i="2" s="1"/>
  <c r="O103" i="2"/>
  <c r="P103" i="2" s="1"/>
  <c r="O71" i="2"/>
  <c r="Q71" i="2" s="1"/>
  <c r="O17" i="2"/>
  <c r="P17" i="2" s="1"/>
  <c r="O336" i="2"/>
  <c r="P336" i="2" s="1"/>
  <c r="O252" i="2"/>
  <c r="Q252" i="2" s="1"/>
  <c r="P252" i="2"/>
  <c r="O108" i="2"/>
  <c r="P108" i="2" s="1"/>
  <c r="O362" i="2"/>
  <c r="Q362" i="2" s="1"/>
  <c r="P362" i="2"/>
  <c r="O256" i="2"/>
  <c r="P256" i="2"/>
  <c r="O59" i="2"/>
  <c r="P59" i="2" s="1"/>
  <c r="O164" i="2"/>
  <c r="P164" i="2" s="1"/>
  <c r="O36" i="2"/>
  <c r="P36" i="2" s="1"/>
  <c r="O349" i="2"/>
  <c r="P349" i="2" s="1"/>
  <c r="O308" i="2"/>
  <c r="P308" i="2" s="1"/>
  <c r="O39" i="2"/>
  <c r="O139" i="2"/>
  <c r="P139" i="2" s="1"/>
  <c r="O66" i="2"/>
  <c r="P66" i="2" s="1"/>
  <c r="O125" i="2"/>
  <c r="Q125" i="2" s="1"/>
  <c r="P125" i="2"/>
  <c r="O170" i="2"/>
  <c r="P170" i="2" s="1"/>
  <c r="O183" i="2"/>
  <c r="P183" i="2" s="1"/>
  <c r="O236" i="2"/>
  <c r="P236" i="2" s="1"/>
  <c r="O57" i="2"/>
  <c r="P57" i="2" s="1"/>
  <c r="O429" i="2"/>
  <c r="P429" i="2"/>
  <c r="O58" i="2"/>
  <c r="P58" i="2"/>
  <c r="O425" i="2"/>
  <c r="P425" i="2" s="1"/>
  <c r="O398" i="2"/>
  <c r="P398" i="2" s="1"/>
  <c r="O419" i="2"/>
  <c r="P419" i="2"/>
  <c r="O276" i="2"/>
  <c r="P276" i="2"/>
  <c r="O43" i="2"/>
  <c r="P43" i="2" s="1"/>
  <c r="O354" i="2"/>
  <c r="Q354" i="2" s="1"/>
  <c r="P354" i="2"/>
  <c r="O317" i="2"/>
  <c r="Q317" i="2" s="1"/>
  <c r="P317" i="2"/>
  <c r="O93" i="2"/>
  <c r="P93" i="2" s="1"/>
  <c r="O223" i="2"/>
  <c r="P223" i="2" s="1"/>
  <c r="O29" i="2"/>
  <c r="P29" i="2"/>
  <c r="O352" i="2"/>
  <c r="P352" i="2" s="1"/>
  <c r="O130" i="2"/>
  <c r="P130" i="2"/>
  <c r="O74" i="2"/>
  <c r="P74" i="2" s="1"/>
  <c r="O5" i="2"/>
  <c r="P5" i="2" s="1"/>
  <c r="O180" i="2"/>
  <c r="P180" i="2" s="1"/>
  <c r="O145" i="2"/>
  <c r="P145" i="2"/>
  <c r="O366" i="2"/>
  <c r="P366" i="2" s="1"/>
  <c r="O334" i="2"/>
  <c r="P334" i="2"/>
  <c r="O394" i="2"/>
  <c r="P394" i="2" s="1"/>
  <c r="O323" i="2"/>
  <c r="P323" i="2"/>
  <c r="O189" i="2"/>
  <c r="Q189" i="2" s="1"/>
  <c r="O52" i="2"/>
  <c r="P52" i="2" s="1"/>
  <c r="O319" i="2"/>
  <c r="P319" i="2"/>
  <c r="O188" i="2"/>
  <c r="P188" i="2"/>
  <c r="O409" i="2"/>
  <c r="P409" i="2" s="1"/>
  <c r="O211" i="2"/>
  <c r="P211" i="2" s="1"/>
  <c r="O175" i="2"/>
  <c r="P175" i="2"/>
  <c r="O30" i="2"/>
  <c r="P30" i="2"/>
  <c r="O21" i="2"/>
  <c r="P21" i="2" s="1"/>
  <c r="O328" i="2"/>
  <c r="P328" i="2" s="1"/>
  <c r="O347" i="2"/>
  <c r="P347" i="2" s="1"/>
  <c r="O248" i="2"/>
  <c r="P248" i="2"/>
  <c r="O260" i="2"/>
  <c r="Q260" i="2" s="1"/>
  <c r="O432" i="2"/>
  <c r="P432" i="2"/>
  <c r="O417" i="2"/>
  <c r="P417" i="2"/>
  <c r="O368" i="2"/>
  <c r="P368" i="2" s="1"/>
  <c r="O119" i="2"/>
  <c r="P119" i="2"/>
  <c r="O387" i="2"/>
  <c r="P387" i="2"/>
  <c r="O446" i="2"/>
  <c r="P446" i="2"/>
  <c r="O435" i="2"/>
  <c r="P435" i="2"/>
  <c r="O405" i="2"/>
  <c r="P405" i="2"/>
  <c r="O373" i="2"/>
  <c r="P373" i="2"/>
  <c r="O136" i="2"/>
  <c r="P136" i="2" s="1"/>
  <c r="O348" i="2"/>
  <c r="P348" i="2" s="1"/>
  <c r="O370" i="2"/>
  <c r="Q370" i="2" s="1"/>
  <c r="P370" i="2"/>
  <c r="O244" i="2"/>
  <c r="P244" i="2" s="1"/>
  <c r="O380" i="2"/>
  <c r="P380" i="2" s="1"/>
  <c r="O292" i="2"/>
  <c r="P292" i="2"/>
  <c r="O174" i="2"/>
  <c r="P174" i="2"/>
  <c r="O363" i="2"/>
  <c r="P363" i="2" s="1"/>
  <c r="O217" i="2"/>
  <c r="P217" i="2"/>
  <c r="O185" i="2"/>
  <c r="P185" i="2" s="1"/>
  <c r="O124" i="2"/>
  <c r="P124" i="2"/>
  <c r="O76" i="2"/>
  <c r="P76" i="2" s="1"/>
  <c r="O37" i="2"/>
  <c r="P37" i="2" s="1"/>
  <c r="O269" i="2"/>
  <c r="P269" i="2" s="1"/>
  <c r="O340" i="2"/>
  <c r="P340" i="2"/>
  <c r="O205" i="2"/>
  <c r="P205" i="2"/>
  <c r="N221" i="2"/>
  <c r="O312" i="2"/>
  <c r="P312" i="2" s="1"/>
  <c r="N312" i="2"/>
  <c r="O98" i="2"/>
  <c r="P98" i="2" s="1"/>
  <c r="N90" i="2"/>
  <c r="N335" i="2"/>
  <c r="O87" i="2"/>
  <c r="P87" i="2" s="1"/>
  <c r="N87" i="2"/>
  <c r="N143" i="2"/>
  <c r="O120" i="2"/>
  <c r="P120" i="2" s="1"/>
  <c r="N120" i="2"/>
  <c r="N259" i="2"/>
  <c r="O314" i="2"/>
  <c r="Q314" i="2" s="1"/>
  <c r="N314" i="2"/>
  <c r="N311" i="2"/>
  <c r="N30" i="2"/>
  <c r="O50" i="2"/>
  <c r="Q50" i="2" s="1"/>
  <c r="N50" i="2"/>
  <c r="N219" i="2"/>
  <c r="O200" i="2"/>
  <c r="N200" i="2"/>
  <c r="O14" i="2"/>
  <c r="N243" i="2"/>
  <c r="N152" i="2"/>
  <c r="O241" i="2"/>
  <c r="N241" i="2"/>
  <c r="N308" i="2"/>
  <c r="O127" i="2"/>
  <c r="P127" i="2" s="1"/>
  <c r="O221" i="2"/>
  <c r="P221" i="2" s="1"/>
  <c r="N128" i="2"/>
  <c r="O47" i="2"/>
  <c r="N47" i="2"/>
  <c r="O18" i="2"/>
  <c r="P18" i="2" s="1"/>
  <c r="N18" i="2"/>
  <c r="N239" i="2"/>
  <c r="N107" i="2"/>
  <c r="N65" i="2"/>
  <c r="N371" i="2"/>
  <c r="N177" i="2"/>
  <c r="N92" i="2"/>
  <c r="N293" i="2"/>
  <c r="N202" i="2"/>
  <c r="N80" i="2"/>
  <c r="N73" i="2"/>
  <c r="N228" i="2"/>
  <c r="N116" i="2"/>
  <c r="N77" i="2"/>
  <c r="N55" i="2"/>
  <c r="N16" i="2"/>
  <c r="N333" i="2"/>
  <c r="N225" i="2"/>
  <c r="N159" i="2"/>
  <c r="N69" i="2"/>
  <c r="N353" i="2"/>
  <c r="N184" i="2"/>
  <c r="N149" i="2"/>
  <c r="N38" i="2"/>
  <c r="N433" i="2"/>
  <c r="N441" i="2"/>
  <c r="N422" i="2"/>
  <c r="N346" i="2"/>
  <c r="N287" i="2"/>
  <c r="N355" i="2"/>
  <c r="N118" i="2"/>
  <c r="N255" i="2"/>
  <c r="N195" i="2"/>
  <c r="N379" i="2"/>
  <c r="N8" i="2"/>
  <c r="N212" i="2"/>
  <c r="N71" i="2"/>
  <c r="N17" i="2"/>
  <c r="N336" i="2"/>
  <c r="N252" i="2"/>
  <c r="N362" i="2"/>
  <c r="N256" i="2"/>
  <c r="N59" i="2"/>
  <c r="N164" i="2"/>
  <c r="N349" i="2"/>
  <c r="N432" i="2"/>
  <c r="N429" i="2"/>
  <c r="N58" i="2"/>
  <c r="N425" i="2"/>
  <c r="N398" i="2"/>
  <c r="N419" i="2"/>
  <c r="N276" i="2"/>
  <c r="N354" i="2"/>
  <c r="N317" i="2"/>
  <c r="N93" i="2"/>
  <c r="N283" i="2"/>
  <c r="N29" i="2"/>
  <c r="N352" i="2"/>
  <c r="N130" i="2"/>
  <c r="N180" i="2"/>
  <c r="N145" i="2"/>
  <c r="N366" i="2"/>
  <c r="N334" i="2"/>
  <c r="N394" i="2"/>
  <c r="N323" i="2"/>
  <c r="N319" i="2"/>
  <c r="N188" i="2"/>
  <c r="N409" i="2"/>
  <c r="N211" i="2"/>
  <c r="N175" i="2"/>
  <c r="N417" i="2"/>
  <c r="N119" i="2"/>
  <c r="N387" i="2"/>
  <c r="N446" i="2"/>
  <c r="N435" i="2"/>
  <c r="N405" i="2"/>
  <c r="N373" i="2"/>
  <c r="N136" i="2"/>
  <c r="N348" i="2"/>
  <c r="N370" i="2"/>
  <c r="N380" i="2"/>
  <c r="N292" i="2"/>
  <c r="N174" i="2"/>
  <c r="N363" i="2"/>
  <c r="N217" i="2"/>
  <c r="N185" i="2"/>
  <c r="N124" i="2"/>
  <c r="N76" i="2"/>
  <c r="N37" i="2"/>
  <c r="N269" i="2"/>
  <c r="N88" i="2"/>
  <c r="N340" i="2"/>
  <c r="N205" i="2"/>
  <c r="N368" i="2"/>
  <c r="N410" i="2"/>
  <c r="N324" i="2"/>
  <c r="N436" i="2"/>
  <c r="N434" i="2"/>
  <c r="N424" i="2"/>
  <c r="N233" i="2"/>
  <c r="N160" i="2"/>
  <c r="N125" i="2"/>
  <c r="N64" i="2"/>
  <c r="N21" i="2"/>
  <c r="N381" i="2"/>
  <c r="N306" i="2"/>
  <c r="N170" i="2"/>
  <c r="N328" i="2"/>
  <c r="N105" i="2"/>
  <c r="N42" i="2"/>
  <c r="N383" i="2"/>
  <c r="N236" i="2"/>
  <c r="N216" i="2"/>
  <c r="N178" i="2"/>
  <c r="N357" i="2"/>
  <c r="N307" i="2"/>
  <c r="N248" i="2"/>
  <c r="N150" i="2"/>
  <c r="N122" i="2"/>
  <c r="N57" i="2"/>
  <c r="N427" i="2"/>
  <c r="N404" i="2"/>
  <c r="N316" i="2"/>
  <c r="N428" i="2"/>
  <c r="N267" i="2"/>
  <c r="N147" i="2"/>
  <c r="N61" i="2"/>
  <c r="N330" i="2"/>
  <c r="N304" i="2"/>
  <c r="N70" i="2"/>
  <c r="N226" i="2"/>
  <c r="N199" i="2"/>
  <c r="N203" i="2"/>
  <c r="N179" i="2"/>
  <c r="N262" i="2"/>
  <c r="N156" i="2"/>
  <c r="N165" i="2"/>
  <c r="N75" i="2"/>
  <c r="N138" i="2"/>
  <c r="N350" i="2"/>
  <c r="N209" i="2"/>
  <c r="N140" i="2"/>
  <c r="N440" i="2"/>
  <c r="N315" i="2"/>
  <c r="N198" i="2"/>
  <c r="N206" i="2"/>
  <c r="N414" i="2"/>
  <c r="N338" i="2"/>
  <c r="N430" i="2"/>
  <c r="N408" i="2"/>
  <c r="N359" i="2"/>
  <c r="N294" i="2"/>
  <c r="N53" i="2"/>
  <c r="N303" i="2"/>
  <c r="N279" i="2"/>
  <c r="N208" i="2"/>
  <c r="N95" i="2"/>
  <c r="N375" i="2"/>
  <c r="N322" i="2"/>
  <c r="N104" i="2"/>
  <c r="N166" i="2"/>
  <c r="N78" i="2"/>
  <c r="N251" i="2"/>
  <c r="N172" i="2"/>
  <c r="N342" i="2"/>
  <c r="N210" i="2"/>
  <c r="N24" i="2"/>
  <c r="N207" i="2"/>
  <c r="N44" i="2"/>
  <c r="N415" i="2"/>
  <c r="N393" i="2"/>
  <c r="N402" i="2"/>
  <c r="N445" i="2"/>
  <c r="N397" i="2"/>
  <c r="N291" i="2"/>
  <c r="N234" i="2"/>
  <c r="N372" i="2"/>
  <c r="N91" i="2"/>
  <c r="N60" i="2"/>
  <c r="N20" i="2"/>
  <c r="N218" i="2"/>
  <c r="N117" i="2"/>
  <c r="N26" i="2"/>
  <c r="N274" i="2"/>
  <c r="N261" i="2"/>
  <c r="N94" i="2"/>
  <c r="N253" i="2"/>
  <c r="N289" i="2"/>
  <c r="N230" i="2"/>
  <c r="N162" i="2"/>
  <c r="N123" i="2"/>
  <c r="N356" i="2"/>
  <c r="N288" i="2"/>
  <c r="N193" i="2"/>
  <c r="N41" i="2"/>
  <c r="N4" i="2"/>
  <c r="D8" i="3" l="1"/>
  <c r="E8" i="3" s="1"/>
  <c r="P153" i="2"/>
  <c r="Q126" i="2"/>
  <c r="Q267" i="2"/>
  <c r="P189" i="2"/>
  <c r="D27" i="3"/>
  <c r="E27" i="3" s="1"/>
  <c r="Q368" i="2"/>
  <c r="D5" i="3"/>
  <c r="E5" i="3" s="1"/>
  <c r="D20" i="3"/>
  <c r="E20" i="3" s="1"/>
  <c r="P40" i="2"/>
  <c r="D9" i="3"/>
  <c r="E9" i="3" s="1"/>
  <c r="D7" i="3"/>
  <c r="E7" i="3" s="1"/>
  <c r="P4" i="2"/>
  <c r="D28" i="3"/>
  <c r="E28" i="3" s="1"/>
  <c r="P14" i="2"/>
  <c r="D6" i="3"/>
  <c r="P39" i="2"/>
  <c r="D12" i="3"/>
  <c r="E12" i="3" s="1"/>
  <c r="D30" i="3"/>
  <c r="E30" i="3" s="1"/>
  <c r="P6" i="2"/>
  <c r="D17" i="3"/>
  <c r="E17" i="3" s="1"/>
  <c r="D13" i="3"/>
  <c r="E13" i="3" s="1"/>
  <c r="P20" i="2"/>
  <c r="D22" i="3"/>
  <c r="E22" i="3" s="1"/>
  <c r="P116" i="2"/>
  <c r="D19" i="3"/>
  <c r="E19" i="3" s="1"/>
  <c r="P64" i="2"/>
  <c r="D24" i="3"/>
  <c r="E24" i="3" s="1"/>
  <c r="D26" i="3"/>
  <c r="E26" i="3" s="1"/>
  <c r="P259" i="2"/>
  <c r="Q241" i="2"/>
  <c r="D21" i="3"/>
  <c r="E21" i="3" s="1"/>
  <c r="D11" i="3"/>
  <c r="E11" i="3" s="1"/>
  <c r="D15" i="3"/>
  <c r="E15" i="3" s="1"/>
  <c r="Q57" i="2"/>
  <c r="Q291" i="2"/>
  <c r="Q136" i="2"/>
  <c r="P260" i="2"/>
  <c r="P277" i="2"/>
  <c r="Q349" i="2"/>
  <c r="Q352" i="2"/>
  <c r="Q193" i="2"/>
  <c r="Q30" i="2"/>
  <c r="P241" i="2"/>
  <c r="Q410" i="2"/>
  <c r="Q95" i="2"/>
  <c r="Q283" i="2"/>
  <c r="Q220" i="2"/>
  <c r="Q326" i="2"/>
  <c r="Q37" i="2"/>
  <c r="Q137" i="2"/>
  <c r="Q247" i="2"/>
  <c r="Q161" i="2"/>
  <c r="Q49" i="2"/>
  <c r="Q88" i="2"/>
  <c r="Q331" i="2"/>
  <c r="Q265" i="2"/>
  <c r="P228" i="2"/>
  <c r="Q80" i="2"/>
  <c r="Q9" i="2"/>
  <c r="Q147" i="2"/>
  <c r="Q194" i="2"/>
  <c r="Q273" i="2"/>
  <c r="Q69" i="2"/>
  <c r="Q86" i="2"/>
  <c r="Q99" i="2"/>
  <c r="Q160" i="2"/>
  <c r="Q312" i="2"/>
  <c r="Q90" i="2"/>
  <c r="Q336" i="2"/>
  <c r="Q143" i="2"/>
  <c r="Q221" i="2"/>
  <c r="Q139" i="2"/>
  <c r="Q120" i="2"/>
  <c r="Q308" i="2"/>
  <c r="Q128" i="2"/>
  <c r="Q87" i="2"/>
  <c r="Q47" i="2"/>
  <c r="P50" i="2"/>
  <c r="Q39" i="2"/>
  <c r="Q17" i="2"/>
  <c r="Q201" i="2"/>
  <c r="Q211" i="2"/>
  <c r="Q389" i="2"/>
  <c r="Q359" i="2"/>
  <c r="Q261" i="2"/>
  <c r="Q206" i="2"/>
  <c r="Q162" i="2"/>
  <c r="Q14" i="2"/>
  <c r="Q138" i="2"/>
  <c r="Q66" i="2"/>
  <c r="Q61" i="2"/>
  <c r="Q385" i="2"/>
  <c r="Q45" i="2"/>
  <c r="Q304" i="2"/>
  <c r="Q237" i="2"/>
  <c r="Q303" i="2"/>
  <c r="Q316" i="2"/>
  <c r="Q108" i="2"/>
  <c r="Q380" i="2"/>
  <c r="Q348" i="2"/>
  <c r="Q59" i="2"/>
  <c r="Q416" i="2"/>
  <c r="P71" i="2"/>
  <c r="Q154" i="2"/>
  <c r="Q135" i="2"/>
  <c r="Q397" i="2"/>
  <c r="Q375" i="2"/>
  <c r="Q140" i="2"/>
  <c r="Q381" i="2"/>
  <c r="Q324" i="2"/>
  <c r="Q394" i="2"/>
  <c r="Q223" i="2"/>
  <c r="Q328" i="2"/>
  <c r="Q269" i="2"/>
  <c r="Q212" i="2"/>
  <c r="Q379" i="2"/>
  <c r="Q333" i="2"/>
  <c r="Q253" i="2"/>
  <c r="Q296" i="2"/>
  <c r="Q396" i="2"/>
  <c r="Q92" i="2"/>
  <c r="Q339" i="2"/>
  <c r="Q184" i="2"/>
  <c r="Q157" i="2"/>
  <c r="Q412" i="2"/>
  <c r="Q42" i="2"/>
  <c r="Q240" i="2"/>
  <c r="Q440" i="2"/>
  <c r="Q170" i="2"/>
  <c r="Q4" i="2"/>
  <c r="Q356" i="2"/>
  <c r="Q335" i="2"/>
  <c r="Q289" i="2"/>
  <c r="Q406" i="2"/>
  <c r="Q360" i="2"/>
  <c r="Q77" i="2"/>
  <c r="Q231" i="2"/>
  <c r="Q64" i="2"/>
  <c r="Q409" i="2"/>
  <c r="Q366" i="2"/>
  <c r="Q78" i="2"/>
  <c r="Q18" i="2"/>
  <c r="P47" i="2"/>
  <c r="Q330" i="2"/>
  <c r="Q21" i="2"/>
  <c r="Q52" i="2"/>
  <c r="Q16" i="2"/>
  <c r="Q398" i="2"/>
  <c r="Q76" i="2"/>
  <c r="Q346" i="2"/>
  <c r="Q166" i="2"/>
  <c r="Q24" i="2"/>
  <c r="Q259" i="2"/>
  <c r="Q363" i="2"/>
  <c r="Q164" i="2"/>
  <c r="Q165" i="2"/>
  <c r="Q415" i="2"/>
  <c r="Q357" i="2"/>
  <c r="Q185" i="2"/>
  <c r="Q20" i="2"/>
  <c r="P138" i="2"/>
  <c r="Q180" i="2"/>
  <c r="Q152" i="2"/>
  <c r="Q425" i="2"/>
  <c r="Q243" i="2"/>
  <c r="Q41" i="2"/>
  <c r="Q377" i="2"/>
  <c r="Q60" i="2"/>
  <c r="Q103" i="2"/>
  <c r="Q371" i="2"/>
  <c r="Q230" i="2"/>
  <c r="Q216" i="2"/>
  <c r="Q73" i="2"/>
  <c r="Q36" i="2"/>
  <c r="Q233" i="2"/>
  <c r="Q441" i="2"/>
  <c r="Q427" i="2"/>
  <c r="Q236" i="2"/>
  <c r="Q75" i="2"/>
  <c r="Q177" i="2"/>
  <c r="Q43" i="2"/>
  <c r="Q355" i="2"/>
  <c r="Q403" i="2"/>
  <c r="Q150" i="2"/>
  <c r="Q93" i="2"/>
  <c r="Q414" i="2"/>
  <c r="Q305" i="2"/>
  <c r="Q307" i="2"/>
  <c r="Q199" i="2"/>
  <c r="Q430" i="2"/>
  <c r="D33" i="3" l="1"/>
  <c r="E33" i="3" s="1"/>
  <c r="E6" i="3"/>
  <c r="D32" i="3"/>
  <c r="O1" i="2"/>
  <c r="D34" i="3" l="1"/>
  <c r="E34" i="3" s="1"/>
  <c r="E32" i="3"/>
</calcChain>
</file>

<file path=xl/sharedStrings.xml><?xml version="1.0" encoding="utf-8"?>
<sst xmlns="http://schemas.openxmlformats.org/spreadsheetml/2006/main" count="2253" uniqueCount="618">
  <si>
    <t>Аптеки</t>
  </si>
  <si>
    <t>ИНН</t>
  </si>
  <si>
    <t>Телефон</t>
  </si>
  <si>
    <t>Область</t>
  </si>
  <si>
    <t>Район</t>
  </si>
  <si>
    <t>М/П</t>
  </si>
  <si>
    <t>Дата релизации</t>
  </si>
  <si>
    <t>Срок доплаты</t>
  </si>
  <si>
    <t>Сумма долга</t>
  </si>
  <si>
    <t>День</t>
  </si>
  <si>
    <t>Срок</t>
  </si>
  <si>
    <t>Просрочка</t>
  </si>
  <si>
    <t>ПРИМЕЧАНИЕ</t>
  </si>
  <si>
    <t>Ташкент</t>
  </si>
  <si>
    <t>Чирчик</t>
  </si>
  <si>
    <t>Джизак</t>
  </si>
  <si>
    <t>Шахноза Юлдашевна</t>
  </si>
  <si>
    <t>Хорезм</t>
  </si>
  <si>
    <t>Ургенчский</t>
  </si>
  <si>
    <t>Мухиддин</t>
  </si>
  <si>
    <t>ABDULLO S.Z</t>
  </si>
  <si>
    <t>Сурхандарья</t>
  </si>
  <si>
    <t>Узунский</t>
  </si>
  <si>
    <t>Сирож</t>
  </si>
  <si>
    <t>Фергана</t>
  </si>
  <si>
    <t>Багдадский</t>
  </si>
  <si>
    <t>Дилшода</t>
  </si>
  <si>
    <t>Дебиторская задолженность</t>
  </si>
  <si>
    <t>Просроченная сумма</t>
  </si>
  <si>
    <t>% соотношения просрочки</t>
  </si>
  <si>
    <t>Андижан</t>
  </si>
  <si>
    <t>Гавхар Андижан</t>
  </si>
  <si>
    <t>Шодмоной</t>
  </si>
  <si>
    <t>Дилноза Андижан</t>
  </si>
  <si>
    <t>Хумоюнмирзо</t>
  </si>
  <si>
    <t>Хусния</t>
  </si>
  <si>
    <t>Бухара</t>
  </si>
  <si>
    <t>Дилафруз Бухоро</t>
  </si>
  <si>
    <t>Нилуфар</t>
  </si>
  <si>
    <t>Дилрабо</t>
  </si>
  <si>
    <t>Шахноза Исокуловна</t>
  </si>
  <si>
    <t>Санобар</t>
  </si>
  <si>
    <t>Даврон</t>
  </si>
  <si>
    <t>Каракалпакстан</t>
  </si>
  <si>
    <t>Гавхар Нукус</t>
  </si>
  <si>
    <t>Кашкадаря</t>
  </si>
  <si>
    <t>Уктам</t>
  </si>
  <si>
    <t>Гайрат</t>
  </si>
  <si>
    <t>Зулфия</t>
  </si>
  <si>
    <t>Журабек</t>
  </si>
  <si>
    <t>Навои</t>
  </si>
  <si>
    <t>Бекзод Навои</t>
  </si>
  <si>
    <t>Дилноза Навои</t>
  </si>
  <si>
    <t>Уйгун</t>
  </si>
  <si>
    <t>Наргиза</t>
  </si>
  <si>
    <t>Наманган</t>
  </si>
  <si>
    <t>Гулом</t>
  </si>
  <si>
    <t>Мухаррам Наманган</t>
  </si>
  <si>
    <t>Нигора Наманган</t>
  </si>
  <si>
    <t>Барно Наманган</t>
  </si>
  <si>
    <t>Мохира</t>
  </si>
  <si>
    <t>Атхамжон</t>
  </si>
  <si>
    <t>Омадхон</t>
  </si>
  <si>
    <t>Офис</t>
  </si>
  <si>
    <t>Самарканд</t>
  </si>
  <si>
    <t>Сайёд</t>
  </si>
  <si>
    <t>Хушвахт</t>
  </si>
  <si>
    <t>Нигина</t>
  </si>
  <si>
    <t>Мухиба</t>
  </si>
  <si>
    <t>Сохиба</t>
  </si>
  <si>
    <t>Зухра</t>
  </si>
  <si>
    <t>Шухрат</t>
  </si>
  <si>
    <t>Хуршида Сурхандарья</t>
  </si>
  <si>
    <t>Йулдошака</t>
  </si>
  <si>
    <t>Шахриддин</t>
  </si>
  <si>
    <t>Сырьдарья</t>
  </si>
  <si>
    <t>Феруза Хайдарова</t>
  </si>
  <si>
    <t>Феруза Уткирова</t>
  </si>
  <si>
    <t>ABROR NAJOT FARM ЧП</t>
  </si>
  <si>
    <t>Избасганский</t>
  </si>
  <si>
    <t>Шахноза</t>
  </si>
  <si>
    <t>ABU FAYZ KELAJAGI ООО</t>
  </si>
  <si>
    <t>Коканд</t>
  </si>
  <si>
    <t>Зулайхо</t>
  </si>
  <si>
    <t>ABUTAKKA ООО</t>
  </si>
  <si>
    <t>Дилафруз Фергана</t>
  </si>
  <si>
    <t>Мубарекский</t>
  </si>
  <si>
    <t>Телефон2</t>
  </si>
  <si>
    <t>Нозима</t>
  </si>
  <si>
    <t>Шерзод Фергана</t>
  </si>
  <si>
    <t>Алтыарыкский</t>
  </si>
  <si>
    <t>Каноат</t>
  </si>
  <si>
    <t>ABBOSBEK FARM 7775 ООО</t>
  </si>
  <si>
    <t>Бешарыкский</t>
  </si>
  <si>
    <t>Бувайдинский</t>
  </si>
  <si>
    <t>Денауский</t>
  </si>
  <si>
    <t>Нишанский</t>
  </si>
  <si>
    <t>Узбекистанский</t>
  </si>
  <si>
    <t>Тайлякский</t>
  </si>
  <si>
    <t>AFRUZBEK SAVDO-INVEST</t>
  </si>
  <si>
    <t>MUHRIDDIN FARM 007 ООО</t>
  </si>
  <si>
    <t>Саида Фергана</t>
  </si>
  <si>
    <t>Багатский</t>
  </si>
  <si>
    <t>Кувасай</t>
  </si>
  <si>
    <t>Карши</t>
  </si>
  <si>
    <t>AJINIYAZ QARAQALPAQ ООО</t>
  </si>
  <si>
    <t>Нукус</t>
  </si>
  <si>
    <t>Хазарспский</t>
  </si>
  <si>
    <t>AKMAL FARM MEDIKAL ООО</t>
  </si>
  <si>
    <t>Янгиюльский</t>
  </si>
  <si>
    <t>Жамшид</t>
  </si>
  <si>
    <t>Бахмальский</t>
  </si>
  <si>
    <t>AKRAM-92 ЧП</t>
  </si>
  <si>
    <t>AL IMRON SHIFO OOO</t>
  </si>
  <si>
    <t>Кувинский</t>
  </si>
  <si>
    <t>Яккабагский</t>
  </si>
  <si>
    <t>Жасур Кашкадарья</t>
  </si>
  <si>
    <t>AL JALOL FARM ООО</t>
  </si>
  <si>
    <t>ALFA ELEGANT OOO</t>
  </si>
  <si>
    <t>Ташлакский</t>
  </si>
  <si>
    <t>ALFA MED PERMANENT ООО</t>
  </si>
  <si>
    <t>Кумкурганский</t>
  </si>
  <si>
    <t>Дилдора</t>
  </si>
  <si>
    <t>ALI DORI-DARMON ООО</t>
  </si>
  <si>
    <t>ALI-SHIFO-ANGOR ЧП</t>
  </si>
  <si>
    <t>Ангорский</t>
  </si>
  <si>
    <t>Аккурганский</t>
  </si>
  <si>
    <t>ALOYE SHIFO ЧП</t>
  </si>
  <si>
    <t>Учкуприкский</t>
  </si>
  <si>
    <t>Жавохир</t>
  </si>
  <si>
    <t>AMONOV OPTIKA ООО</t>
  </si>
  <si>
    <t>Амударьинский</t>
  </si>
  <si>
    <t>Риштанский</t>
  </si>
  <si>
    <t>Чиланзарский</t>
  </si>
  <si>
    <t>Сабохат</t>
  </si>
  <si>
    <t>ANVAR MEDICAL FARM 777 ООО</t>
  </si>
  <si>
    <t>Шафирканский</t>
  </si>
  <si>
    <t>Чустский</t>
  </si>
  <si>
    <t>Янгикурганский</t>
  </si>
  <si>
    <t>ARASTU ЧП</t>
  </si>
  <si>
    <t>Коракульский</t>
  </si>
  <si>
    <t>Шахрисабзский</t>
  </si>
  <si>
    <t>Термизский</t>
  </si>
  <si>
    <t>GAVHAR MUBINA FARM ООО</t>
  </si>
  <si>
    <t>Гулистан</t>
  </si>
  <si>
    <t>ASLIYEV OZOD ООО</t>
  </si>
  <si>
    <t>Джамбайский</t>
  </si>
  <si>
    <t>Хивинский</t>
  </si>
  <si>
    <t>Лазиз Хорезм</t>
  </si>
  <si>
    <t>AVERON  ЧП</t>
  </si>
  <si>
    <t>Фуркат</t>
  </si>
  <si>
    <t>Яшнабадский</t>
  </si>
  <si>
    <t>Хуррамой</t>
  </si>
  <si>
    <t>AXROR BERDIMURODOVICH ЧП</t>
  </si>
  <si>
    <t>AYBOLIT NUKUS FARM ООО</t>
  </si>
  <si>
    <t>AYUBXON INVEST FARM ООО</t>
  </si>
  <si>
    <t>Галляаральский</t>
  </si>
  <si>
    <t>AZIM FARM MED ООО</t>
  </si>
  <si>
    <t>Пешкунский</t>
  </si>
  <si>
    <t>Туракурганский</t>
  </si>
  <si>
    <t>AZIZBEK FARM INTER ООО</t>
  </si>
  <si>
    <t>Бустанский</t>
  </si>
  <si>
    <t>Шахриханский</t>
  </si>
  <si>
    <t>Нарпайский</t>
  </si>
  <si>
    <t>Дустликский</t>
  </si>
  <si>
    <t>AZIZ-M ЧП</t>
  </si>
  <si>
    <t>Яккасарайский</t>
  </si>
  <si>
    <t>Лобар</t>
  </si>
  <si>
    <t>BAXODIROV DAVLATBEK FARM ООО</t>
  </si>
  <si>
    <t>Пайарыкский</t>
  </si>
  <si>
    <t>Ургутский</t>
  </si>
  <si>
    <t>BAYT ЧП</t>
  </si>
  <si>
    <t>BB KUMUSH ООО</t>
  </si>
  <si>
    <t>BEGZOD UNIVERSAL FARM ЧП</t>
  </si>
  <si>
    <t>Язъяванский</t>
  </si>
  <si>
    <t>Санжар</t>
  </si>
  <si>
    <t>ZIYOD ЧП</t>
  </si>
  <si>
    <t>Термез</t>
  </si>
  <si>
    <t>BESH YULDUZ-MMR ЧП</t>
  </si>
  <si>
    <t>BILAL MED PHARMACY ООО</t>
  </si>
  <si>
    <t>BINAFSHA ЧП</t>
  </si>
  <si>
    <t>Китабский</t>
  </si>
  <si>
    <t>Нарынский</t>
  </si>
  <si>
    <t>BIO PLUS ООО</t>
  </si>
  <si>
    <t>BOBOMUROD NUR 0707 ЧП</t>
  </si>
  <si>
    <t>Пахтачийский</t>
  </si>
  <si>
    <t>BOG'OT FARMMEDIKAL ООО</t>
  </si>
  <si>
    <t>Фаррух</t>
  </si>
  <si>
    <t>NUR XUMO 888 ООО</t>
  </si>
  <si>
    <t>BONU ЧП</t>
  </si>
  <si>
    <t>Зааминский</t>
  </si>
  <si>
    <t>Булунгурский</t>
  </si>
  <si>
    <t>BURGUTOV BOBIR ООО</t>
  </si>
  <si>
    <t>CHALLENGE MEDFARM ЧП</t>
  </si>
  <si>
    <t>CHIN-KAMOL ЧП</t>
  </si>
  <si>
    <t>Балыкчинский</t>
  </si>
  <si>
    <t>Чиракчинский</t>
  </si>
  <si>
    <t>CHIROQCHI ZERO FARM ООО</t>
  </si>
  <si>
    <t>CRYSTAL PHARM ООО</t>
  </si>
  <si>
    <t>Юнусабадский</t>
  </si>
  <si>
    <t>DADAJON MEDFARM ООО</t>
  </si>
  <si>
    <t>DARMON DORI-SHIFO</t>
  </si>
  <si>
    <t>DARMON PHARMACY ООО</t>
  </si>
  <si>
    <t>Шурчинский</t>
  </si>
  <si>
    <t>MEDUS-FARM ООО</t>
  </si>
  <si>
    <t>Гулноза</t>
  </si>
  <si>
    <t xml:space="preserve">DARMON ЧП </t>
  </si>
  <si>
    <t>DARMON-A001 ЧП</t>
  </si>
  <si>
    <t>Кошкупырский</t>
  </si>
  <si>
    <t>Чартакский</t>
  </si>
  <si>
    <t>DILDORA PYLUS FARM ЧП</t>
  </si>
  <si>
    <t>Мирзо-Улугбекский</t>
  </si>
  <si>
    <t>DILOROM MED SERVIS ЧП</t>
  </si>
  <si>
    <t>Андижанская</t>
  </si>
  <si>
    <t>Паркентский</t>
  </si>
  <si>
    <t>Зохиджон</t>
  </si>
  <si>
    <t>Мингбулакский</t>
  </si>
  <si>
    <t>SUQROT-FARM ООО</t>
  </si>
  <si>
    <t>DINUR LEND  ООО</t>
  </si>
  <si>
    <t>Шаватский</t>
  </si>
  <si>
    <t>DOK-MER-1 ООО</t>
  </si>
  <si>
    <t>DOKTOR JURA SERVIS ЧП</t>
  </si>
  <si>
    <t>DOKTOR MER ЧП</t>
  </si>
  <si>
    <t>DONIYOR SHIFO PLUS ЧП</t>
  </si>
  <si>
    <t>DO'STLIK SAVDO FARM ООО</t>
  </si>
  <si>
    <t>Сариасийский</t>
  </si>
  <si>
    <t>EKOSAN KADAR ООО</t>
  </si>
  <si>
    <t>EKOSAN-KADAR ЧП</t>
  </si>
  <si>
    <t>ELDOR JANNAT SHIFO ООО</t>
  </si>
  <si>
    <t>ELIXSIR VIVA ООО</t>
  </si>
  <si>
    <t>ELYORBEK SIFAT FARM ООО</t>
  </si>
  <si>
    <t>Шараф Рашидовский</t>
  </si>
  <si>
    <t>EZGULIK YO'LIDA ЧП</t>
  </si>
  <si>
    <t>Сергелийский</t>
  </si>
  <si>
    <t>FAMILY PHARMACY ЧП</t>
  </si>
  <si>
    <t>FAR SHAFO NUR ЧП</t>
  </si>
  <si>
    <t>FARHOD-MEDFARM ООО</t>
  </si>
  <si>
    <t>FARM LEKAR ЧП</t>
  </si>
  <si>
    <t>FARM LIDER FARG`ONA ООО</t>
  </si>
  <si>
    <t>Ферганский</t>
  </si>
  <si>
    <t>FARM LYUKS INVEST ООО</t>
  </si>
  <si>
    <t>FARM MEDITSINA PLYUS ООО</t>
  </si>
  <si>
    <t>Хафиза</t>
  </si>
  <si>
    <t>FARMA-FRIEND ООО</t>
  </si>
  <si>
    <t>IHLOS QUVA FARM ООО</t>
  </si>
  <si>
    <t>Махлиё</t>
  </si>
  <si>
    <t>FARMLYUKS ООО</t>
  </si>
  <si>
    <t>Наманганский</t>
  </si>
  <si>
    <t>FARZONA FARM APTEKA ООО</t>
  </si>
  <si>
    <t>Фаришский</t>
  </si>
  <si>
    <t>FARZONA MAXZUNA ООО</t>
  </si>
  <si>
    <t>Кошрабадский</t>
  </si>
  <si>
    <t>FAVORIT BRAND FARM ООО</t>
  </si>
  <si>
    <t>FAYZ BARKAFARM ЧП</t>
  </si>
  <si>
    <t>FAYZ FIRDAVS MED FARM ЧП</t>
  </si>
  <si>
    <t>FAYZ SADULLO ООО</t>
  </si>
  <si>
    <t>Кызылтепинский</t>
  </si>
  <si>
    <t>Сайхунабадский</t>
  </si>
  <si>
    <t>FAZLIDDIN FARANGIZ ООО</t>
  </si>
  <si>
    <t>FAZO FARM MUBORAK ООО</t>
  </si>
  <si>
    <t>Бахтиёр</t>
  </si>
  <si>
    <t>FERUZ ЧП</t>
  </si>
  <si>
    <t>FIRDAVS FARM NAVOIY ЧП</t>
  </si>
  <si>
    <t>Иштыханский</t>
  </si>
  <si>
    <t xml:space="preserve">FITO-FARM-LEK ООО </t>
  </si>
  <si>
    <t>FS ULUG'BEK MEDICAL ООО</t>
  </si>
  <si>
    <t>GALLAOROL PHARM ЧП</t>
  </si>
  <si>
    <t>GENESIS TRADE  OOO</t>
  </si>
  <si>
    <t>Гиждуанский</t>
  </si>
  <si>
    <t>GIPPOKRAT MED SERVIS ЧП</t>
  </si>
  <si>
    <t>GIYO SHIFO FARM ООО</t>
  </si>
  <si>
    <t>GIYOH MALXAM SHIFO SERVIS ЧП</t>
  </si>
  <si>
    <t>Карманинский</t>
  </si>
  <si>
    <t>GOLDIN UNIVERSAL PHARM OOO</t>
  </si>
  <si>
    <t>Асакинский</t>
  </si>
  <si>
    <t>GRAND BEST GROUP FARM ООО</t>
  </si>
  <si>
    <t>GRAND FARM AVITSENNA</t>
  </si>
  <si>
    <t>GRAND MEDICAL CENTRE LTD ООО</t>
  </si>
  <si>
    <t>GRAND PHARM ANDIJON ООО</t>
  </si>
  <si>
    <t xml:space="preserve">GRAND PHARMACY 777 ООО </t>
  </si>
  <si>
    <t>GRAND-MEDIKAL CENTER ООО</t>
  </si>
  <si>
    <t>UMED SAMINA 9090 ООО</t>
  </si>
  <si>
    <t>Миркомил</t>
  </si>
  <si>
    <t>VOXIDOV SM ООО</t>
  </si>
  <si>
    <t>GULCHEHRA FARM ООО</t>
  </si>
  <si>
    <t>GULISTON FARM MEDIKAL ЧП</t>
  </si>
  <si>
    <t>MOYCHECHAK ООО</t>
  </si>
  <si>
    <t>HAMKOR SALOMATLIK ООО</t>
  </si>
  <si>
    <t>HIDOYAT NUR FARM ЧП</t>
  </si>
  <si>
    <t>Хужаабадский</t>
  </si>
  <si>
    <t>G`UZOROV SHOKIR FARM ООО</t>
  </si>
  <si>
    <t xml:space="preserve">Ромитанский </t>
  </si>
  <si>
    <t>IBROHIM ABDULLOH HAMKOR FARM ЧП</t>
  </si>
  <si>
    <t>IKROMJON SOLIYEV ЧП</t>
  </si>
  <si>
    <t>ILHOMBEK PHARM MEDICAL ООО</t>
  </si>
  <si>
    <t>IMMUN CITY ООО</t>
  </si>
  <si>
    <t>IMPULSE FARM ООО</t>
  </si>
  <si>
    <t>IMRONBEK-FARMATSEVTIKA ООО</t>
  </si>
  <si>
    <t>INTROMED INVEST OOO</t>
  </si>
  <si>
    <t xml:space="preserve">IQBOL ООО </t>
  </si>
  <si>
    <t>Лазиз</t>
  </si>
  <si>
    <t>IRODA-AA ЧП</t>
  </si>
  <si>
    <t>ISHONCH 757 ООО</t>
  </si>
  <si>
    <t>Каганский</t>
  </si>
  <si>
    <t>ISOMIDDINOVA DILOBAR 1994 ООО</t>
  </si>
  <si>
    <t>ISTIQLOL FARM INVEST ООО</t>
  </si>
  <si>
    <t>ISTIQLOL FARM ООО</t>
  </si>
  <si>
    <t>IYMONA FARM CENTR ООО</t>
  </si>
  <si>
    <t>Уйчинский</t>
  </si>
  <si>
    <t>Янгиарикский</t>
  </si>
  <si>
    <t>JANNAT SHIFO ООО</t>
  </si>
  <si>
    <t>Алтынсайский</t>
  </si>
  <si>
    <t>JEY AND ZET ООО</t>
  </si>
  <si>
    <t>Жонбойский</t>
  </si>
  <si>
    <t>KAMOLA GUL FARM ООО</t>
  </si>
  <si>
    <t>KAMOLA GULSHODA PLYUS ООО</t>
  </si>
  <si>
    <t>KAMRON FARM GULYUZ ЧП</t>
  </si>
  <si>
    <t>Кизирикский</t>
  </si>
  <si>
    <t>KAPSULA MEDICAL ООО</t>
  </si>
  <si>
    <t>KARDIOMALHAM ООО</t>
  </si>
  <si>
    <t>KITOB ILXOM FARM ЧП</t>
  </si>
  <si>
    <t>KITOB SHIFO-NUR FARM ЧП</t>
  </si>
  <si>
    <t>KORIANDER GROUP PHARM ООО</t>
  </si>
  <si>
    <t>KOZIM FAYZ BARAKA ООО</t>
  </si>
  <si>
    <t>LUQMONI XAKIM ЧП</t>
  </si>
  <si>
    <t>LUX FARM-1111 ООО</t>
  </si>
  <si>
    <t>LYUBIMIY FARM ООО</t>
  </si>
  <si>
    <t>MA`RIFAT SHODIYONA FARM ООО</t>
  </si>
  <si>
    <t>MADAD FARM ООО</t>
  </si>
  <si>
    <t>MADINA MURODJON MAXLIYO FARM ЧП</t>
  </si>
  <si>
    <t>MADINA ЧП</t>
  </si>
  <si>
    <t>MADINA-FARM SINTEZ ООО</t>
  </si>
  <si>
    <t>MAKRO FARM EXCLUSIVE ООО</t>
  </si>
  <si>
    <t>NIM ALLBUSINESS ООО</t>
  </si>
  <si>
    <t>MAQSUD SAMARQANDIY ООО</t>
  </si>
  <si>
    <t>MARHAMAT SUMAYYA FARM OOO</t>
  </si>
  <si>
    <t>Андижанский</t>
  </si>
  <si>
    <t>MARJON ЧП</t>
  </si>
  <si>
    <t>MARJON-SHIFO ЧП</t>
  </si>
  <si>
    <t>MASHAD GUZAR FARM ЧП</t>
  </si>
  <si>
    <t>MAXSUDBEK SIFAT FARM ООО</t>
  </si>
  <si>
    <t>MED I LIFE ООО</t>
  </si>
  <si>
    <t>PEACE HEALTH BUILDINGS ООО</t>
  </si>
  <si>
    <t>MED NAVOIY ООО</t>
  </si>
  <si>
    <t xml:space="preserve">MED TEMUR-FARM ООО </t>
  </si>
  <si>
    <t>MEDICAL CENTER SHOX FARM ООО</t>
  </si>
  <si>
    <t>Дилфуза Андижан</t>
  </si>
  <si>
    <t>MEDIK-GAZLAMA-FARM ЧП</t>
  </si>
  <si>
    <t>MEHRIDDIN MUNIRA FARM ЧП</t>
  </si>
  <si>
    <t>MEHRIGIYO GULXAYO ЧП</t>
  </si>
  <si>
    <t>MERKURIY ООО</t>
  </si>
  <si>
    <t>MERUM KAPITAL ЧП</t>
  </si>
  <si>
    <t>MEXRIGIYO GULI ЧП</t>
  </si>
  <si>
    <t xml:space="preserve">MIRZIYO ALISHER FARM ООО </t>
  </si>
  <si>
    <t>MADINA-FARM-FARG'ONA ЧП</t>
  </si>
  <si>
    <t>MOXI GUL FARM ЧП</t>
  </si>
  <si>
    <t>MUROD FARM OLTINSOY ООО</t>
  </si>
  <si>
    <t>MUROD FAYZ OQQURG'ON ЧП</t>
  </si>
  <si>
    <t>MURTOZA BOBO SAVDO FARM ЧП</t>
  </si>
  <si>
    <t>MUSSAN ЧП</t>
  </si>
  <si>
    <t>MUXIDDIN FARM OLTIARIQ ООО</t>
  </si>
  <si>
    <t>MUXLISA UNIVERSAL FARM SERVIS ООО</t>
  </si>
  <si>
    <t>NAFOSAT-STM-SS ООО</t>
  </si>
  <si>
    <t>NAMANGAN R INVEST-2019 ЧП</t>
  </si>
  <si>
    <t xml:space="preserve">NAVBAHOR ООО </t>
  </si>
  <si>
    <t>NIGINA NOSIROVA SHXN ООО</t>
  </si>
  <si>
    <t>NIGINA-DILNOZA-JOMARD ЧП</t>
  </si>
  <si>
    <t>NODIRA OILAVIY FARM ООО</t>
  </si>
  <si>
    <t>NOSIRHONFARM ООО</t>
  </si>
  <si>
    <t>FARG'ONA XUSANBOY FAYZ ЧП</t>
  </si>
  <si>
    <t>NURAFSHON KARMANA ЧП</t>
  </si>
  <si>
    <t>NURDIYOR ЧП</t>
  </si>
  <si>
    <t>NURFAYZ TRADE STAR ООО</t>
  </si>
  <si>
    <t>NURILLO SAVDO FARM ООО</t>
  </si>
  <si>
    <t>NURSHOD MEDICAL ЧП</t>
  </si>
  <si>
    <t>O`RTA SHAHRIXON SERVIS ООО</t>
  </si>
  <si>
    <t>OG`ABEK-FARM ООО</t>
  </si>
  <si>
    <t>OLAM-FARM ООО</t>
  </si>
  <si>
    <t>OMAD SAHOVAT FARM ЧП</t>
  </si>
  <si>
    <t>Акдарьинский</t>
  </si>
  <si>
    <t>OQQO'RG'ON FLORA FARM ЧП</t>
  </si>
  <si>
    <t xml:space="preserve">SINOMED FARMA ООО </t>
  </si>
  <si>
    <t>ORZIGUL FAYZULLAEVA ЧП</t>
  </si>
  <si>
    <t>OSIYO GOLD FARM ЧП</t>
  </si>
  <si>
    <t>Мирзачулский</t>
  </si>
  <si>
    <t>Камашинский</t>
  </si>
  <si>
    <t>O'TKIR TIG'LI QAMISH ЧП</t>
  </si>
  <si>
    <t>OXUNJON-FARM ООО</t>
  </si>
  <si>
    <t>OYGUL MEDIK FARM OOO</t>
  </si>
  <si>
    <t>PAYARIK DORISHUNOSI ООО</t>
  </si>
  <si>
    <t>PAYARIQ MEDIKAL ООО</t>
  </si>
  <si>
    <t>WORLD OF MEDICINE ООО</t>
  </si>
  <si>
    <t>Шайхантахурский</t>
  </si>
  <si>
    <t>MEDLIDER PHARM ООО</t>
  </si>
  <si>
    <t>PHARMA LUXE ООО</t>
  </si>
  <si>
    <t>PHARMA-COSS 777 ООО</t>
  </si>
  <si>
    <t>PHARMAZONE 999</t>
  </si>
  <si>
    <t>QIZIRIQ AL YUSUF FARM ЧП</t>
  </si>
  <si>
    <t>QO`SHRABOD TRADE GROUP ООО</t>
  </si>
  <si>
    <t>Юсуфбой</t>
  </si>
  <si>
    <t>RA'NO FARM SAYXUN ООО</t>
  </si>
  <si>
    <t>RASHIDXO'JA MUSTAFOXO'JA FARM ЧП</t>
  </si>
  <si>
    <t>RAXMONOV NURBEK NASIMOVICH ЧП</t>
  </si>
  <si>
    <t>RIZO MEGA PHARM ООО</t>
  </si>
  <si>
    <t>ROTYUD-OL-FARM ООО</t>
  </si>
  <si>
    <t>Лайиш</t>
  </si>
  <si>
    <t>Тупраккалинский</t>
  </si>
  <si>
    <t>SADO FARM ООО</t>
  </si>
  <si>
    <t>SALOMAT UMARBEK ЧП</t>
  </si>
  <si>
    <t>SAMAD SAMANDAR FARM ЧП</t>
  </si>
  <si>
    <t>SANJAR-FARM-OMAD ЧП</t>
  </si>
  <si>
    <t>SAPAEV JONIBEK ЧП</t>
  </si>
  <si>
    <t>SAPFIR FARM SERVIS ООО</t>
  </si>
  <si>
    <t>Шахноза Андижан</t>
  </si>
  <si>
    <t>SARDOR ASR MED PHARM ООО</t>
  </si>
  <si>
    <t>SARDOR ООО</t>
  </si>
  <si>
    <t>Тулкин</t>
  </si>
  <si>
    <t>SARDOR-NUR MED SERVIS ЧП</t>
  </si>
  <si>
    <t xml:space="preserve">SARIOSIYO-LOBAR-FARM </t>
  </si>
  <si>
    <t>SARKAR-SHIFO ЧП</t>
  </si>
  <si>
    <t>SARVAR ЧП</t>
  </si>
  <si>
    <t>SARVINOZ MED FARM ООО</t>
  </si>
  <si>
    <t>SAXOVAT UNIVERSAL FARM OOO</t>
  </si>
  <si>
    <t>SAYRAM PARK ООО</t>
  </si>
  <si>
    <t>SENTILLION BUSINESS ООО</t>
  </si>
  <si>
    <t>SHAXBOZ-2001 ЧП</t>
  </si>
  <si>
    <t xml:space="preserve">SHAXBOZBEK LIDER ООО </t>
  </si>
  <si>
    <t>SHAXBOZBEK MEDICAL ООО</t>
  </si>
  <si>
    <t>SHAXBOZBEK UMURZOQOV ООО</t>
  </si>
  <si>
    <t>Бахт</t>
  </si>
  <si>
    <t>SHAXRIZODA BIZNES SERVIS ООО</t>
  </si>
  <si>
    <t>SHERXAN-LTD ООО</t>
  </si>
  <si>
    <t>SHIFO GRAND</t>
  </si>
  <si>
    <t>SHIFO MEGA FARM ООО</t>
  </si>
  <si>
    <t>SHIFO ЧП</t>
  </si>
  <si>
    <t>SHIRINA BEST FARM ООО</t>
  </si>
  <si>
    <t>SHODLIK-MC ООО</t>
  </si>
  <si>
    <t>SHOH SIFAT FARM ООО</t>
  </si>
  <si>
    <t>SHOH-BOBUR FARM ЧП</t>
  </si>
  <si>
    <t xml:space="preserve">SHOX PHARMA ООО </t>
  </si>
  <si>
    <t>SHOXJAXON-SHAVKATBEK ЧП</t>
  </si>
  <si>
    <t>SHUKRONA-FERUZA FARM ООО</t>
  </si>
  <si>
    <t>SHUXRAT ЧП</t>
  </si>
  <si>
    <t>SINO ЧП</t>
  </si>
  <si>
    <t>SIRLI TABOBAT ЧП</t>
  </si>
  <si>
    <t>Феруза</t>
  </si>
  <si>
    <t>SOF-DIL FARM ООО</t>
  </si>
  <si>
    <t>STATUS DARMON FARM ООО</t>
  </si>
  <si>
    <t>STRONG GRAND LIDER ЧП</t>
  </si>
  <si>
    <t>SUMAYA FIRDAVS FARM ООО</t>
  </si>
  <si>
    <t>SURXONLINE ЧП</t>
  </si>
  <si>
    <t>TAKSUN GRAND ООО</t>
  </si>
  <si>
    <t>TEMURBEK FARMA ULUG`BEK ЧП</t>
  </si>
  <si>
    <t>TEXNOFARM ATM ЧП</t>
  </si>
  <si>
    <t>MEDICINE-999 ООО</t>
  </si>
  <si>
    <t>TOLIBJON ELDORBEK FARM ООО</t>
  </si>
  <si>
    <t>TOSHLOQ SHIFO FAYZ IK ЧП</t>
  </si>
  <si>
    <t>TOXIRBEK SHIFO FARM ЧП</t>
  </si>
  <si>
    <t>TURDI RASULOVICH ЧП</t>
  </si>
  <si>
    <t>UKTAM NUR TURDIALI OTA ЧП</t>
  </si>
  <si>
    <t>CHINOR CHASHMA FARM ЧП</t>
  </si>
  <si>
    <t>ULUG'-ISLOM FARM ООО</t>
  </si>
  <si>
    <t>UMIDA ЧП</t>
  </si>
  <si>
    <t>XAQQULOBOD MED FARM ООО</t>
  </si>
  <si>
    <t>UNIQUE MEDICAL PHARMA ЧП</t>
  </si>
  <si>
    <t>VALLEY FARM ООО</t>
  </si>
  <si>
    <t>VAMELAN SHIFO FARM ООО</t>
  </si>
  <si>
    <t xml:space="preserve">VIMKOM SERVIS PLYUS ЧП </t>
  </si>
  <si>
    <t>VITA PHARM NAVOIY ООО</t>
  </si>
  <si>
    <t xml:space="preserve">VODIY FARM INVEST ООО </t>
  </si>
  <si>
    <t>VORISBEK ABDULATIF ЧП</t>
  </si>
  <si>
    <t>Зафаробадский</t>
  </si>
  <si>
    <t>WELL PHARM STORES ООО</t>
  </si>
  <si>
    <t>XADICHA FARM ООО</t>
  </si>
  <si>
    <t>XAKAN ЧП</t>
  </si>
  <si>
    <t>XAYRULLO MEDICALFARM ООО</t>
  </si>
  <si>
    <t>XIVA DILRABO FARM ЧП</t>
  </si>
  <si>
    <t>XIVA ELMUROD INVEST ООО</t>
  </si>
  <si>
    <t>XIVA FARM SERVIS ЧП</t>
  </si>
  <si>
    <t>XTXS-MALXAM OOO</t>
  </si>
  <si>
    <t>XURSHID-AKBAR FARM ООО</t>
  </si>
  <si>
    <t>XUSANBOY OTA FARM LYUKS ЧП</t>
  </si>
  <si>
    <t>YAKKA QAYRAG'OCH SERVIS ООО</t>
  </si>
  <si>
    <t>YANGIARIQ SAMIRA SOFIYA FARM OOO</t>
  </si>
  <si>
    <t>YASMINA MED FARM SAVDO ЧП</t>
  </si>
  <si>
    <t>YORQIN-FARM ООО</t>
  </si>
  <si>
    <t xml:space="preserve">YUKSAK DARMON SHIFO ООО </t>
  </si>
  <si>
    <t>YUNUS YXG ООО</t>
  </si>
  <si>
    <t>YUSUF MEDICINE PHARMACY ООО</t>
  </si>
  <si>
    <t>Розия</t>
  </si>
  <si>
    <t>Жалолкудукский</t>
  </si>
  <si>
    <t>Муслимбек</t>
  </si>
  <si>
    <t>ZAMIN BARAKA IMKONI ООО</t>
  </si>
  <si>
    <t>Алтынкульский</t>
  </si>
  <si>
    <t>ZAMIN MEDIKAL FARM ООО</t>
  </si>
  <si>
    <t>ZILOL ЧП</t>
  </si>
  <si>
    <t>SHIFO INTER SAVDO ЧП</t>
  </si>
  <si>
    <t>Кургантепинский</t>
  </si>
  <si>
    <t>ZIYO KAVSAR SAVDO ООО</t>
  </si>
  <si>
    <t>ZOXIRBEK BIZNES ООО</t>
  </si>
  <si>
    <t>Пахтакорский</t>
  </si>
  <si>
    <t>ZULAYXA SAMIRA FARM ЧП</t>
  </si>
  <si>
    <t>ZUXRA ЧП</t>
  </si>
  <si>
    <t>Норин ТТБ</t>
  </si>
  <si>
    <t xml:space="preserve">        FUTURE WORLD GROUP</t>
  </si>
  <si>
    <t>Груаппа</t>
  </si>
  <si>
    <t>GRAND PHARM TRADE</t>
  </si>
  <si>
    <t>Алмазарский</t>
  </si>
  <si>
    <t>Гино</t>
  </si>
  <si>
    <t>MEROS PHARM</t>
  </si>
  <si>
    <t>KOM EKSIM ООО</t>
  </si>
  <si>
    <t>Дилором</t>
  </si>
  <si>
    <t>ASIA IMPERIAL PHARM ООО</t>
  </si>
  <si>
    <t>Ирода</t>
  </si>
  <si>
    <t>BEKZOD PHARMA ООО</t>
  </si>
  <si>
    <t>PREMIUM - MEDICAL CENTER СП</t>
  </si>
  <si>
    <t>Нафиса</t>
  </si>
  <si>
    <t>MUXARRAM FARM ООО</t>
  </si>
  <si>
    <t>Нурбек</t>
  </si>
  <si>
    <t>QARAQALPAQ FARM SERVIS ООО</t>
  </si>
  <si>
    <t>Без гино</t>
  </si>
  <si>
    <t>Андижан Гино</t>
  </si>
  <si>
    <t>Бухара Гино</t>
  </si>
  <si>
    <t>Каракалпакстан Гино</t>
  </si>
  <si>
    <t>Самарканд Гино</t>
  </si>
  <si>
    <t>Сурхандарья Гино</t>
  </si>
  <si>
    <t>Ташкент Гино</t>
  </si>
  <si>
    <t>Джизак Гино</t>
  </si>
  <si>
    <t>Кашкадаря Гино</t>
  </si>
  <si>
    <t>Навои Гино</t>
  </si>
  <si>
    <t>Наманган Гино</t>
  </si>
  <si>
    <t>Сырьдарья Гино</t>
  </si>
  <si>
    <t>Фергана Гино</t>
  </si>
  <si>
    <t>Хорезм Гино</t>
  </si>
  <si>
    <t>Без Гино</t>
  </si>
  <si>
    <t>Общие</t>
  </si>
  <si>
    <t>ECZANE ООО</t>
  </si>
  <si>
    <t>EVEREST PHARM 777 ООО</t>
  </si>
  <si>
    <t>BILOL-MED-PHARM ООО</t>
  </si>
  <si>
    <t>Мохинур</t>
  </si>
  <si>
    <t>PROXIMA ЧП</t>
  </si>
  <si>
    <t>30-60 дней</t>
  </si>
  <si>
    <t>60-90 дней</t>
  </si>
  <si>
    <t>90 дней и более</t>
  </si>
  <si>
    <t>DORISHUNOS SHAXNOZA ООО</t>
  </si>
  <si>
    <t xml:space="preserve">TOP VICTORY ООО </t>
  </si>
  <si>
    <t>AFRUZA-FARM ЧП</t>
  </si>
  <si>
    <t>KAMRONBEK BIO FARM ООО</t>
  </si>
  <si>
    <t>SANOFI FARM 777 ООО</t>
  </si>
  <si>
    <t>MIR APTEKA ООО</t>
  </si>
  <si>
    <t>HUMOYUN-NUR-FARM ООО</t>
  </si>
  <si>
    <t>Мадина</t>
  </si>
  <si>
    <t>AVITSENNA DORI-DARMON ООО</t>
  </si>
  <si>
    <t>FARM FERUZA ЧП</t>
  </si>
  <si>
    <t>SHAMSIDDIN-YODGORI ООО</t>
  </si>
  <si>
    <t>Наима</t>
  </si>
  <si>
    <t>Гузал</t>
  </si>
  <si>
    <t>Нодира</t>
  </si>
  <si>
    <t>OPTIMUS MED ООО</t>
  </si>
  <si>
    <t>GLOBUS MALXAM FARM ООО</t>
  </si>
  <si>
    <t>KESH PARVINA FARM ООО</t>
  </si>
  <si>
    <t>Жўрабек</t>
  </si>
  <si>
    <t>UNLIMITED ЧП</t>
  </si>
  <si>
    <t>SITORA DALER ЧП</t>
  </si>
  <si>
    <t xml:space="preserve">MIRZOXID ISKANDAR ЧП </t>
  </si>
  <si>
    <t>XOSIYAT MED TRADE ООО</t>
  </si>
  <si>
    <t>Ёзёвон</t>
  </si>
  <si>
    <t>A`LO IMKON FARM ООО</t>
  </si>
  <si>
    <t>AN-NUR FARM ООО</t>
  </si>
  <si>
    <t>SAM FAMILY PHARM  ООО</t>
  </si>
  <si>
    <t>CARDIO MED ООО</t>
  </si>
  <si>
    <t>JAVOHIR MADAD FARM ООО</t>
  </si>
  <si>
    <t>ATABOY PLYUS K ООО</t>
  </si>
  <si>
    <t>Алмаликский</t>
  </si>
  <si>
    <t>IBROXIM FARM SHIFO ЧП</t>
  </si>
  <si>
    <t>PIKOVIT ООО</t>
  </si>
  <si>
    <t>USMONJON ЧП</t>
  </si>
  <si>
    <t>TABOBAT OLAM FARM ООО</t>
  </si>
  <si>
    <t>NASRULLOX INVEST FARM ООО</t>
  </si>
  <si>
    <t>ASL-MUXLIS FARM ООО</t>
  </si>
  <si>
    <t>Сайёра</t>
  </si>
  <si>
    <t>Зафар</t>
  </si>
  <si>
    <t>AFRUZBEK SAVDO-INVEST ООО</t>
  </si>
  <si>
    <t>KAMOL ООО</t>
  </si>
  <si>
    <t>PULSE PHARM ООО</t>
  </si>
  <si>
    <t>ASL-MEDICAL-PHARM ООО</t>
  </si>
  <si>
    <t>MARXABO-DILOBAR FARM SHIFO ООО</t>
  </si>
  <si>
    <t>PARADISE PHARM ООО</t>
  </si>
  <si>
    <t>12.01.2023</t>
  </si>
  <si>
    <t>30.01.2023</t>
  </si>
  <si>
    <t>20.02.2023</t>
  </si>
  <si>
    <t>02.03.2023</t>
  </si>
  <si>
    <t>17.03.2023</t>
  </si>
  <si>
    <t>01.04.2023</t>
  </si>
  <si>
    <t>FS NUR FARM ООО</t>
  </si>
  <si>
    <t xml:space="preserve">GRADUS FARM MEDICAL </t>
  </si>
  <si>
    <t>MED REALIST ООО</t>
  </si>
  <si>
    <t>MUXAMNAR ООО</t>
  </si>
  <si>
    <t>RASH-FARM TRADE ООО</t>
  </si>
  <si>
    <t>YAKKASAROY DORI ООО</t>
  </si>
  <si>
    <t>EAGLE PHARM ЧП</t>
  </si>
  <si>
    <t>DOCTOR NODIRABEGIM ООО</t>
  </si>
  <si>
    <t>XIVA KOMILJON OTA ЧП</t>
  </si>
  <si>
    <t>GRANT FARM PLYUS ООО</t>
  </si>
  <si>
    <t>SAMFARM ООО</t>
  </si>
  <si>
    <t>VAKSINA HEALTHCARE ООО</t>
  </si>
  <si>
    <t>OAZIS LEK FARM ЧП</t>
  </si>
  <si>
    <t>OMAD ЧП</t>
  </si>
  <si>
    <t>FAMILY PHARM INVEST ООО</t>
  </si>
  <si>
    <t>RASULBEK MEGA FARM 555 ООО</t>
  </si>
  <si>
    <t>Хужаобод ТТБ</t>
  </si>
  <si>
    <t>LINCHI MED ООО</t>
  </si>
  <si>
    <t>PLUS - OMAD FARM ООО</t>
  </si>
  <si>
    <t>NEBOLEYKA EMPIRE  ООО</t>
  </si>
  <si>
    <t>Мухаё Наманган</t>
  </si>
  <si>
    <t>Оптом</t>
  </si>
  <si>
    <t>Сардор Хамраев</t>
  </si>
  <si>
    <t>Сардор Жураев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</si>
</sst>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₽_-;\-* #,##0.00\ _₽_-;_-* &quot;-&quot;??\ _₽_-;_-@_-"/>
    <numFmt numFmtId="164" formatCode="[&lt;=9999999]###\-####;\(###\)\ ###\-####"/>
    <numFmt numFmtId="165" formatCode="#,##0.00;[Red]\-#,##0.00"/>
  </numFmts>
  <fonts count="19" x14ac:knownFonts="1">
    <font>
      <sz val="9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sz val="8"/>
      <color rgb="FFFF0000"/>
      <name val="Arial"/>
      <family val="2"/>
      <charset val="204"/>
    </font>
    <font>
      <b/>
      <i/>
      <sz val="9"/>
      <color rgb="FFFF0000"/>
      <name val="Arial"/>
      <family val="2"/>
      <charset val="204"/>
    </font>
    <font>
      <b/>
      <i/>
      <sz val="8"/>
      <color theme="0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sz val="8"/>
      <name val="Arial"/>
      <family val="2"/>
    </font>
    <font>
      <b/>
      <sz val="8"/>
      <color rgb="FFFF0000"/>
      <name val="Arial"/>
      <family val="2"/>
      <charset val="204"/>
    </font>
    <font>
      <sz val="8"/>
      <color rgb="FF000000"/>
      <name val="Arial"/>
      <family val="2"/>
      <charset val="204"/>
    </font>
    <font>
      <b/>
      <sz val="8"/>
      <color theme="1"/>
      <name val="Arial"/>
      <family val="2"/>
      <charset val="204"/>
    </font>
    <font>
      <b/>
      <i/>
      <sz val="8"/>
      <name val="Arial"/>
      <family val="2"/>
      <charset val="204"/>
    </font>
    <font>
      <b/>
      <i/>
      <sz val="8"/>
      <color theme="1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i/>
      <sz val="8"/>
      <color rgb="FFFF0000"/>
      <name val="Arial"/>
      <family val="2"/>
      <charset val="204"/>
    </font>
    <font>
      <b/>
      <sz val="14"/>
      <color rgb="FF00B050"/>
      <name val="Monotype Corsiva"/>
      <family val="4"/>
      <charset val="204"/>
    </font>
    <font>
      <b/>
      <i/>
      <u/>
      <sz val="11"/>
      <color rgb="FFFF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>
      <alignment horizontal="left"/>
    </xf>
    <xf numFmtId="9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8" fillId="0" borderId="0"/>
  </cellStyleXfs>
  <cellXfs count="78">
    <xf numFmtId="0" fontId="0" fillId="0" borderId="0" xfId="0"/>
    <xf numFmtId="0" fontId="1" fillId="0" borderId="0" xfId="1">
      <alignment horizontal="left"/>
    </xf>
    <xf numFmtId="14" fontId="3" fillId="0" borderId="0" xfId="1" applyNumberFormat="1" applyFont="1" applyBorder="1" applyAlignment="1">
      <alignment horizontal="center" vertical="center"/>
    </xf>
    <xf numFmtId="0" fontId="1" fillId="0" borderId="0" xfId="1" applyBorder="1">
      <alignment horizontal="left"/>
    </xf>
    <xf numFmtId="0" fontId="1" fillId="0" borderId="0" xfId="1" applyAlignment="1">
      <alignment horizontal="left" vertical="center"/>
    </xf>
    <xf numFmtId="0" fontId="4" fillId="0" borderId="0" xfId="1" applyFont="1">
      <alignment horizontal="left"/>
    </xf>
    <xf numFmtId="4" fontId="1" fillId="0" borderId="1" xfId="1" applyNumberFormat="1" applyFont="1" applyFill="1" applyBorder="1" applyAlignment="1">
      <alignment horizontal="right"/>
    </xf>
    <xf numFmtId="4" fontId="1" fillId="0" borderId="0" xfId="1" applyNumberFormat="1">
      <alignment horizontal="left"/>
    </xf>
    <xf numFmtId="4" fontId="5" fillId="0" borderId="0" xfId="1" applyNumberFormat="1" applyFont="1" applyAlignment="1">
      <alignment horizontal="right"/>
    </xf>
    <xf numFmtId="14" fontId="5" fillId="0" borderId="0" xfId="1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2" fillId="0" borderId="0" xfId="1" applyFont="1" applyFill="1">
      <alignment horizontal="left"/>
    </xf>
    <xf numFmtId="0" fontId="1" fillId="0" borderId="0" xfId="1" applyFill="1">
      <alignment horizontal="left"/>
    </xf>
    <xf numFmtId="0" fontId="1" fillId="0" borderId="0" xfId="0" applyFont="1" applyFill="1" applyBorder="1" applyAlignment="1">
      <alignment vertical="center" wrapText="1"/>
    </xf>
    <xf numFmtId="164" fontId="1" fillId="0" borderId="0" xfId="0" applyNumberFormat="1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 wrapText="1"/>
    </xf>
    <xf numFmtId="14" fontId="1" fillId="0" borderId="0" xfId="0" applyNumberFormat="1" applyFont="1" applyFill="1" applyBorder="1" applyAlignment="1">
      <alignment vertical="center" wrapText="1"/>
    </xf>
    <xf numFmtId="165" fontId="1" fillId="0" borderId="0" xfId="0" applyNumberFormat="1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43" fontId="1" fillId="0" borderId="0" xfId="3" applyFont="1" applyFill="1" applyBorder="1" applyAlignment="1">
      <alignment vertical="center"/>
    </xf>
    <xf numFmtId="0" fontId="1" fillId="0" borderId="0" xfId="1" applyFont="1" applyFill="1">
      <alignment horizontal="left"/>
    </xf>
    <xf numFmtId="4" fontId="1" fillId="0" borderId="0" xfId="4" applyNumberFormat="1" applyFont="1" applyFill="1" applyBorder="1" applyAlignment="1">
      <alignment vertical="center"/>
    </xf>
    <xf numFmtId="4" fontId="1" fillId="0" borderId="0" xfId="4" applyNumberFormat="1" applyFont="1" applyBorder="1" applyAlignment="1">
      <alignment horizontal="right" vertical="center"/>
    </xf>
    <xf numFmtId="164" fontId="1" fillId="3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 wrapText="1"/>
    </xf>
    <xf numFmtId="164" fontId="4" fillId="0" borderId="0" xfId="0" applyNumberFormat="1" applyFont="1" applyFill="1" applyBorder="1" applyAlignment="1">
      <alignment vertical="center"/>
    </xf>
    <xf numFmtId="49" fontId="4" fillId="0" borderId="0" xfId="0" applyNumberFormat="1" applyFont="1" applyFill="1" applyBorder="1" applyAlignment="1">
      <alignment vertical="center" wrapText="1"/>
    </xf>
    <xf numFmtId="14" fontId="4" fillId="0" borderId="0" xfId="0" applyNumberFormat="1" applyFont="1" applyFill="1" applyBorder="1" applyAlignment="1">
      <alignment vertical="center" wrapText="1"/>
    </xf>
    <xf numFmtId="4" fontId="4" fillId="0" borderId="0" xfId="4" applyNumberFormat="1" applyFont="1" applyFill="1" applyBorder="1" applyAlignment="1">
      <alignment vertical="center"/>
    </xf>
    <xf numFmtId="43" fontId="4" fillId="0" borderId="0" xfId="3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right" vertical="center"/>
    </xf>
    <xf numFmtId="164" fontId="10" fillId="0" borderId="0" xfId="0" applyNumberFormat="1" applyFont="1" applyFill="1" applyBorder="1" applyAlignment="1"/>
    <xf numFmtId="165" fontId="8" fillId="0" borderId="0" xfId="4" applyNumberFormat="1" applyFont="1" applyBorder="1" applyAlignment="1">
      <alignment horizontal="right" vertical="center" wrapText="1"/>
    </xf>
    <xf numFmtId="0" fontId="1" fillId="0" borderId="0" xfId="4" applyNumberFormat="1" applyFont="1" applyFill="1" applyBorder="1" applyAlignment="1">
      <alignment vertical="center" wrapText="1"/>
    </xf>
    <xf numFmtId="164" fontId="10" fillId="0" borderId="0" xfId="0" applyNumberFormat="1" applyFont="1" applyFill="1" applyBorder="1" applyAlignment="1">
      <alignment vertical="center"/>
    </xf>
    <xf numFmtId="49" fontId="1" fillId="3" borderId="0" xfId="0" applyNumberFormat="1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165" fontId="4" fillId="0" borderId="0" xfId="0" applyNumberFormat="1" applyFont="1" applyFill="1" applyBorder="1" applyAlignment="1">
      <alignment vertical="center"/>
    </xf>
    <xf numFmtId="164" fontId="1" fillId="2" borderId="0" xfId="0" applyNumberFormat="1" applyFont="1" applyFill="1" applyBorder="1" applyAlignment="1">
      <alignment vertical="center"/>
    </xf>
    <xf numFmtId="164" fontId="10" fillId="0" borderId="0" xfId="0" applyNumberFormat="1" applyFont="1" applyBorder="1" applyAlignment="1">
      <alignment horizontal="right" vertical="center"/>
    </xf>
    <xf numFmtId="3" fontId="1" fillId="0" borderId="0" xfId="0" applyNumberFormat="1" applyFont="1" applyFill="1" applyBorder="1" applyAlignment="1">
      <alignment vertical="center" wrapText="1"/>
    </xf>
    <xf numFmtId="3" fontId="1" fillId="0" borderId="0" xfId="0" applyNumberFormat="1" applyFont="1" applyBorder="1" applyAlignment="1">
      <alignment horizontal="center" vertical="center" wrapText="1"/>
    </xf>
    <xf numFmtId="3" fontId="1" fillId="3" borderId="0" xfId="0" applyNumberFormat="1" applyFont="1" applyFill="1" applyBorder="1" applyAlignment="1">
      <alignment vertical="center" wrapText="1"/>
    </xf>
    <xf numFmtId="3" fontId="4" fillId="0" borderId="0" xfId="0" applyNumberFormat="1" applyFont="1" applyFill="1" applyBorder="1" applyAlignment="1">
      <alignment vertical="center" wrapText="1"/>
    </xf>
    <xf numFmtId="3" fontId="1" fillId="0" borderId="0" xfId="4" applyNumberFormat="1" applyFont="1" applyFill="1" applyBorder="1" applyAlignment="1">
      <alignment vertical="center" wrapText="1"/>
    </xf>
    <xf numFmtId="3" fontId="1" fillId="0" borderId="0" xfId="0" applyNumberFormat="1" applyFont="1" applyFill="1" applyBorder="1" applyAlignment="1">
      <alignment vertical="center"/>
    </xf>
    <xf numFmtId="3" fontId="4" fillId="0" borderId="0" xfId="0" applyNumberFormat="1" applyFont="1" applyFill="1" applyBorder="1" applyAlignment="1">
      <alignment vertical="center"/>
    </xf>
    <xf numFmtId="9" fontId="13" fillId="0" borderId="0" xfId="2" applyFont="1" applyFill="1" applyBorder="1" applyAlignment="1">
      <alignment horizontal="center" vertical="center"/>
    </xf>
    <xf numFmtId="49" fontId="2" fillId="0" borderId="4" xfId="1" applyNumberFormat="1" applyFont="1" applyFill="1" applyBorder="1" applyAlignment="1">
      <alignment horizontal="center" vertical="center"/>
    </xf>
    <xf numFmtId="9" fontId="1" fillId="0" borderId="5" xfId="2" applyFont="1" applyFill="1" applyBorder="1" applyAlignment="1">
      <alignment horizontal="center" vertical="center"/>
    </xf>
    <xf numFmtId="9" fontId="1" fillId="0" borderId="5" xfId="2" applyNumberFormat="1" applyFont="1" applyFill="1" applyBorder="1" applyAlignment="1">
      <alignment horizontal="center" vertical="center"/>
    </xf>
    <xf numFmtId="49" fontId="11" fillId="0" borderId="6" xfId="1" applyNumberFormat="1" applyFont="1" applyFill="1" applyBorder="1" applyAlignment="1">
      <alignment horizontal="center" vertical="center"/>
    </xf>
    <xf numFmtId="0" fontId="2" fillId="0" borderId="3" xfId="1" applyFont="1" applyBorder="1" applyAlignment="1">
      <alignment horizontal="center" vertical="center" wrapText="1"/>
    </xf>
    <xf numFmtId="0" fontId="2" fillId="0" borderId="7" xfId="1" applyFont="1" applyBorder="1" applyAlignment="1">
      <alignment horizontal="center" vertical="center" wrapText="1"/>
    </xf>
    <xf numFmtId="4" fontId="1" fillId="0" borderId="2" xfId="1" applyNumberFormat="1" applyFont="1" applyFill="1" applyBorder="1" applyAlignment="1">
      <alignment horizontal="right"/>
    </xf>
    <xf numFmtId="9" fontId="1" fillId="0" borderId="8" xfId="2" applyFont="1" applyFill="1" applyBorder="1" applyAlignment="1">
      <alignment horizontal="center" vertical="center"/>
    </xf>
    <xf numFmtId="14" fontId="2" fillId="0" borderId="0" xfId="1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4" fontId="12" fillId="0" borderId="0" xfId="1" applyNumberFormat="1" applyFont="1" applyBorder="1" applyAlignment="1">
      <alignment horizontal="center" vertical="center"/>
    </xf>
    <xf numFmtId="0" fontId="6" fillId="0" borderId="0" xfId="1" applyFont="1" applyAlignment="1">
      <alignment horizontal="center" vertical="center" wrapText="1"/>
    </xf>
    <xf numFmtId="4" fontId="2" fillId="0" borderId="0" xfId="1" applyNumberFormat="1" applyFont="1" applyAlignment="1">
      <alignment horizontal="center" vertical="center"/>
    </xf>
    <xf numFmtId="4" fontId="1" fillId="0" borderId="9" xfId="1" applyNumberFormat="1" applyFont="1" applyFill="1" applyBorder="1" applyAlignment="1">
      <alignment horizontal="right"/>
    </xf>
    <xf numFmtId="4" fontId="4" fillId="0" borderId="1" xfId="1" applyNumberFormat="1" applyFont="1" applyFill="1" applyBorder="1" applyAlignment="1">
      <alignment horizontal="right"/>
    </xf>
    <xf numFmtId="4" fontId="16" fillId="0" borderId="0" xfId="1" applyNumberFormat="1" applyFont="1" applyBorder="1" applyAlignment="1">
      <alignment horizontal="center" vertical="center"/>
    </xf>
    <xf numFmtId="4" fontId="2" fillId="0" borderId="0" xfId="1" applyNumberFormat="1" applyFont="1" applyBorder="1" applyAlignment="1">
      <alignment horizontal="center" vertical="center"/>
    </xf>
    <xf numFmtId="0" fontId="9" fillId="0" borderId="0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17" fillId="0" borderId="0" xfId="1" applyFont="1">
      <alignment horizontal="left"/>
    </xf>
    <xf numFmtId="49" fontId="9" fillId="0" borderId="4" xfId="1" applyNumberFormat="1" applyFont="1" applyFill="1" applyBorder="1" applyAlignment="1">
      <alignment horizontal="center" vertical="center"/>
    </xf>
    <xf numFmtId="49" fontId="2" fillId="0" borderId="10" xfId="1" applyNumberFormat="1" applyFont="1" applyFill="1" applyBorder="1" applyAlignment="1">
      <alignment horizontal="center" vertical="center"/>
    </xf>
    <xf numFmtId="9" fontId="1" fillId="0" borderId="11" xfId="2" applyFont="1" applyFill="1" applyBorder="1" applyAlignment="1">
      <alignment horizontal="center" vertical="center"/>
    </xf>
    <xf numFmtId="49" fontId="14" fillId="0" borderId="6" xfId="1" applyNumberFormat="1" applyFont="1" applyFill="1" applyBorder="1" applyAlignment="1">
      <alignment horizontal="center" vertical="center"/>
    </xf>
    <xf numFmtId="4" fontId="15" fillId="0" borderId="3" xfId="1" applyNumberFormat="1" applyFont="1" applyFill="1" applyBorder="1" applyAlignment="1">
      <alignment horizontal="right"/>
    </xf>
    <xf numFmtId="9" fontId="15" fillId="0" borderId="7" xfId="2" applyFont="1" applyFill="1" applyBorder="1" applyAlignment="1">
      <alignment horizontal="center" vertical="center"/>
    </xf>
    <xf numFmtId="3" fontId="18" fillId="0" borderId="0" xfId="1" applyNumberFormat="1" applyFont="1" applyAlignment="1">
      <alignment horizontal="center" vertical="center"/>
    </xf>
    <xf numFmtId="164" fontId="4" fillId="0" borderId="0" xfId="0" applyNumberFormat="1" applyFont="1" applyFill="1" applyBorder="1" applyAlignment="1"/>
    <xf numFmtId="0" fontId="4" fillId="0" borderId="0" xfId="1" applyFont="1" applyFill="1">
      <alignment horizontal="left"/>
    </xf>
    <xf numFmtId="3" fontId="1" fillId="0" borderId="0" xfId="0" applyNumberFormat="1" applyFont="1" applyBorder="1" applyAlignment="1">
      <alignment vertical="center" wrapText="1"/>
    </xf>
  </cellXfs>
  <cellStyles count="5">
    <cellStyle name="Обычный" xfId="0" builtinId="0"/>
    <cellStyle name="Обычный 2" xfId="1"/>
    <cellStyle name="Обычный_Лист" xfId="4"/>
    <cellStyle name="Процентный 2" xfId="2"/>
    <cellStyle name="Финансовый" xfId="3" builtinId="3"/>
  </cellStyles>
  <dxfs count="29"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auto="1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strike val="0"/>
        <outline val="0"/>
        <shadow val="0"/>
        <u val="none"/>
        <vertAlign val="baseline"/>
        <sz val="8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5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5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5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5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5" formatCode="#,##0.00;[Red]\-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[&lt;=9999999]###\-####;\(###\)\ ###\-####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[&lt;=9999999]###\-####;\(###\)\ ###\-####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/>
        <i/>
        <strike val="0"/>
        <outline val="0"/>
        <shadow val="0"/>
        <u val="none"/>
        <vertAlign val="baseline"/>
        <sz val="8"/>
        <color theme="0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7222</xdr:rowOff>
    </xdr:from>
    <xdr:to>
      <xdr:col>5</xdr:col>
      <xdr:colOff>0</xdr:colOff>
      <xdr:row>8</xdr:row>
      <xdr:rowOff>228533</xdr:rowOff>
    </xdr:to>
    <xdr:sp macro="[0]!показать_джизак" textlink="">
      <xdr:nvSpPr>
        <xdr:cNvPr id="8" name="Скругленный прямоугольник 7"/>
        <xdr:cNvSpPr/>
      </xdr:nvSpPr>
      <xdr:spPr>
        <a:xfrm>
          <a:off x="5113020" y="2110342"/>
          <a:ext cx="0" cy="221311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10</xdr:row>
      <xdr:rowOff>6768</xdr:rowOff>
    </xdr:from>
    <xdr:to>
      <xdr:col>5</xdr:col>
      <xdr:colOff>0</xdr:colOff>
      <xdr:row>10</xdr:row>
      <xdr:rowOff>229555</xdr:rowOff>
    </xdr:to>
    <xdr:sp macro="[0]!показать_нукус" textlink="">
      <xdr:nvSpPr>
        <xdr:cNvPr id="10" name="Скругленный прямоугольник 9"/>
        <xdr:cNvSpPr/>
      </xdr:nvSpPr>
      <xdr:spPr>
        <a:xfrm>
          <a:off x="5113020" y="2407068"/>
          <a:ext cx="0" cy="222787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12</xdr:row>
      <xdr:rowOff>6764</xdr:rowOff>
    </xdr:from>
    <xdr:to>
      <xdr:col>5</xdr:col>
      <xdr:colOff>0</xdr:colOff>
      <xdr:row>12</xdr:row>
      <xdr:rowOff>229696</xdr:rowOff>
    </xdr:to>
    <xdr:sp macro="[0]!показать_кашкадарья" textlink="">
      <xdr:nvSpPr>
        <xdr:cNvPr id="12" name="Скругленный прямоугольник 11"/>
        <xdr:cNvSpPr/>
      </xdr:nvSpPr>
      <xdr:spPr>
        <a:xfrm>
          <a:off x="5113020" y="2704244"/>
          <a:ext cx="0" cy="222932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14</xdr:row>
      <xdr:rowOff>6183</xdr:rowOff>
    </xdr:from>
    <xdr:to>
      <xdr:col>5</xdr:col>
      <xdr:colOff>0</xdr:colOff>
      <xdr:row>14</xdr:row>
      <xdr:rowOff>229115</xdr:rowOff>
    </xdr:to>
    <xdr:sp macro="[0]!показать_навои" textlink="">
      <xdr:nvSpPr>
        <xdr:cNvPr id="13" name="Скругленный прямоугольник 12"/>
        <xdr:cNvSpPr/>
      </xdr:nvSpPr>
      <xdr:spPr>
        <a:xfrm>
          <a:off x="5113020" y="3000843"/>
          <a:ext cx="0" cy="222932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16</xdr:row>
      <xdr:rowOff>6362</xdr:rowOff>
    </xdr:from>
    <xdr:to>
      <xdr:col>5</xdr:col>
      <xdr:colOff>0</xdr:colOff>
      <xdr:row>16</xdr:row>
      <xdr:rowOff>232040</xdr:rowOff>
    </xdr:to>
    <xdr:sp macro="[0]!показать_наманган" textlink="">
      <xdr:nvSpPr>
        <xdr:cNvPr id="16" name="Скругленный прямоугольник 15"/>
        <xdr:cNvSpPr/>
      </xdr:nvSpPr>
      <xdr:spPr>
        <a:xfrm>
          <a:off x="5113020" y="3298202"/>
          <a:ext cx="0" cy="225678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19</xdr:row>
      <xdr:rowOff>5957</xdr:rowOff>
    </xdr:from>
    <xdr:to>
      <xdr:col>5</xdr:col>
      <xdr:colOff>0</xdr:colOff>
      <xdr:row>19</xdr:row>
      <xdr:rowOff>231635</xdr:rowOff>
    </xdr:to>
    <xdr:sp macro="[0]!показать_самарканд" textlink="">
      <xdr:nvSpPr>
        <xdr:cNvPr id="18" name="Скругленный прямоугольник 17"/>
        <xdr:cNvSpPr/>
      </xdr:nvSpPr>
      <xdr:spPr>
        <a:xfrm>
          <a:off x="5113020" y="3892157"/>
          <a:ext cx="0" cy="225678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twoCellAnchor>
    <xdr:from>
      <xdr:col>5</xdr:col>
      <xdr:colOff>0</xdr:colOff>
      <xdr:row>21</xdr:row>
      <xdr:rowOff>6914</xdr:rowOff>
    </xdr:from>
    <xdr:to>
      <xdr:col>5</xdr:col>
      <xdr:colOff>0</xdr:colOff>
      <xdr:row>21</xdr:row>
      <xdr:rowOff>237323</xdr:rowOff>
    </xdr:to>
    <xdr:sp macro="[0]!показать_сурхандарья" textlink="">
      <xdr:nvSpPr>
        <xdr:cNvPr id="20" name="Скругленный прямоугольник 19"/>
        <xdr:cNvSpPr/>
      </xdr:nvSpPr>
      <xdr:spPr>
        <a:xfrm>
          <a:off x="5113020" y="4190294"/>
          <a:ext cx="0" cy="23040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000" b="1" i="1" baseline="0"/>
            <a:t>Показать</a:t>
          </a:r>
        </a:p>
      </xdr:txBody>
    </xdr:sp>
    <xdr:clientData/>
  </xdr:twoCellAnchor>
  <xdr:oneCellAnchor>
    <xdr:from>
      <xdr:col>1</xdr:col>
      <xdr:colOff>1524705</xdr:colOff>
      <xdr:row>0</xdr:row>
      <xdr:rowOff>91792</xdr:rowOff>
    </xdr:from>
    <xdr:ext cx="395785" cy="443146"/>
    <xdr:pic>
      <xdr:nvPicPr>
        <xdr:cNvPr id="27" name="Рисунок 26" descr="FW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15772" y="91792"/>
          <a:ext cx="395785" cy="443146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id="1" name="Таблица1" displayName="Таблица1" ref="B2:S448" totalsRowShown="0" headerRowDxfId="28" dataDxfId="27">
  <autoFilter ref="B2:S448"/>
  <tableColumns count="18">
    <tableColumn id="1" name="Аптеки" dataDxfId="26"/>
    <tableColumn id="2" name="ИНН" dataDxfId="25"/>
    <tableColumn id="3" name="Телефон" dataDxfId="24"/>
    <tableColumn id="14" name="Телефон2" dataDxfId="23"/>
    <tableColumn id="4" name="Область" dataDxfId="22"/>
    <tableColumn id="5" name="Район" dataDxfId="21"/>
    <tableColumn id="16" name="Груаппа" dataDxfId="20"/>
    <tableColumn id="6" name="М/П" dataDxfId="19"/>
    <tableColumn id="7" name="Дата релизации" dataDxfId="18"/>
    <tableColumn id="8" name="Срок доплаты" dataDxfId="17">
      <calculatedColumnFormula>IF(J3&gt;0,J3+30," ")</calculatedColumnFormula>
    </tableColumn>
    <tableColumn id="9" name="Сумма долга" dataDxfId="16"/>
    <tableColumn id="10" name="День" dataDxfId="15">
      <calculatedColumnFormula>IF(J3&gt;0,(+$B$1-J3),)</calculatedColumnFormula>
    </tableColumn>
    <tableColumn id="11" name="Срок" dataDxfId="14"/>
    <tableColumn id="12" name="Просрочка" dataDxfId="13">
      <calculatedColumnFormula>IF(M3&gt;=30,L3, " ")</calculatedColumnFormula>
    </tableColumn>
    <tableColumn id="18" name="30-60 дней" dataDxfId="12">
      <calculatedColumnFormula>IF(M3&gt;60,"",(IF(M3&gt;30,O3, "")))</calculatedColumnFormula>
    </tableColumn>
    <tableColumn id="17" name="60-90 дней" dataDxfId="11">
      <calculatedColumnFormula>IF(M3&gt;90,"",(IF(M3&gt;60,O3, "")))</calculatedColumnFormula>
    </tableColumn>
    <tableColumn id="15" name="90 дней и более" dataDxfId="10">
      <calculatedColumnFormula>IF(M3&gt;90,L3, " ")</calculatedColumnFormula>
    </tableColumn>
    <tableColumn id="13" name="ПРИМЕЧАНИЕ" dataDxfId="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B4:E31" totalsRowShown="0" headerRowDxfId="8" tableBorderDxfId="7">
  <autoFilter ref="B4:E31"/>
  <tableColumns count="4">
    <tableColumn id="1" name="Область" dataDxfId="6"/>
    <tableColumn id="2" name="Дебиторская задолженность" dataDxfId="5">
      <calculatedColumnFormula>SUMIFS(Таблица1[Сумма долга],Таблица1[Область],Общие!B5)/2</calculatedColumnFormula>
    </tableColumn>
    <tableColumn id="3" name="Просроченная сумма" dataDxfId="4">
      <calculatedColumnFormula>SUMIFS(Таблица1[Просрочка],Таблица1[Область],Общие!B5)</calculatedColumnFormula>
    </tableColumn>
    <tableColumn id="4" name="% соотношения просрочки" dataDxfId="3">
      <calculatedColumnFormula>D5/C5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B1:S450"/>
  <sheetViews>
    <sheetView tabSelected="1" zoomScale="75" zoomScaleNormal="75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H2" sqref="H2"/>
    </sheetView>
  </sheetViews>
  <sheetFormatPr defaultRowHeight="10.199999999999999" x14ac:dyDescent="0.2"/>
  <cols>
    <col min="1" max="1" width="4.140625" style="1" customWidth="1"/>
    <col min="2" max="2" width="61.28515625" style="1" bestFit="1" customWidth="1"/>
    <col min="3" max="3" width="12.85546875" style="1" customWidth="1"/>
    <col min="4" max="4" width="17.42578125" style="1" bestFit="1" customWidth="1"/>
    <col min="5" max="5" width="2.28515625" style="1" hidden="1" customWidth="1"/>
    <col min="6" max="6" width="21.7109375" style="1" bestFit="1" customWidth="1"/>
    <col min="7" max="7" width="22.28515625" style="1" customWidth="1"/>
    <col min="8" max="8" width="12.42578125" style="1" customWidth="1"/>
    <col min="9" max="9" width="23.140625" style="1" bestFit="1" customWidth="1"/>
    <col min="10" max="10" width="12.85546875" style="1" customWidth="1"/>
    <col min="11" max="11" width="14" style="1" customWidth="1"/>
    <col min="12" max="12" width="20.28515625" style="1" customWidth="1"/>
    <col min="13" max="13" width="7.42578125" style="1" customWidth="1"/>
    <col min="14" max="14" width="16.85546875" style="1" customWidth="1"/>
    <col min="15" max="15" width="19.7109375" style="1" bestFit="1" customWidth="1"/>
    <col min="16" max="18" width="18.42578125" style="1" customWidth="1"/>
    <col min="19" max="19" width="23.42578125" style="1" bestFit="1" customWidth="1"/>
    <col min="20" max="16384" width="9.140625" style="1"/>
  </cols>
  <sheetData>
    <row r="1" spans="2:19" ht="12" customHeight="1" x14ac:dyDescent="0.2">
      <c r="B1" s="9">
        <f ca="1">TODAY()-1</f>
        <v>45072</v>
      </c>
      <c r="L1" s="8">
        <f>SUBTOTAL(9,Таблица1[Сумма долга])/2</f>
        <v>1020625102.74</v>
      </c>
      <c r="O1" s="8">
        <f ca="1">SUBTOTAL(9,Таблица1[Просрочка])</f>
        <v>2041250205.48</v>
      </c>
      <c r="P1" s="8"/>
      <c r="Q1" s="8"/>
      <c r="R1" s="8"/>
    </row>
    <row r="2" spans="2:19" ht="20.399999999999999" x14ac:dyDescent="0.2">
      <c r="B2" s="59" t="s">
        <v>0</v>
      </c>
      <c r="C2" s="59" t="s">
        <v>1</v>
      </c>
      <c r="D2" s="59" t="s">
        <v>2</v>
      </c>
      <c r="E2" s="10" t="s">
        <v>87</v>
      </c>
      <c r="F2" s="59" t="s">
        <v>3</v>
      </c>
      <c r="G2" s="59" t="s">
        <v>4</v>
      </c>
      <c r="H2" s="59" t="s">
        <v>505</v>
      </c>
      <c r="I2" s="59" t="s">
        <v>5</v>
      </c>
      <c r="J2" s="59" t="s">
        <v>6</v>
      </c>
      <c r="K2" s="59" t="s">
        <v>7</v>
      </c>
      <c r="L2" s="59" t="s">
        <v>8</v>
      </c>
      <c r="M2" s="59" t="s">
        <v>9</v>
      </c>
      <c r="N2" s="59" t="s">
        <v>10</v>
      </c>
      <c r="O2" s="59" t="s">
        <v>11</v>
      </c>
      <c r="P2" s="59" t="s">
        <v>541</v>
      </c>
      <c r="Q2" s="59" t="s">
        <v>542</v>
      </c>
      <c r="R2" s="59" t="s">
        <v>543</v>
      </c>
      <c r="S2" s="59" t="s">
        <v>12</v>
      </c>
    </row>
    <row r="3" spans="2:19" x14ac:dyDescent="0.2">
      <c r="B3" s="13" t="s">
        <v>567</v>
      </c>
      <c r="C3" s="40">
        <v>308448360</v>
      </c>
      <c r="D3" s="14"/>
      <c r="E3" s="14"/>
      <c r="F3" s="15" t="s">
        <v>24</v>
      </c>
      <c r="G3" s="15" t="s">
        <v>566</v>
      </c>
      <c r="H3" s="15" t="s">
        <v>520</v>
      </c>
      <c r="I3" s="15" t="s">
        <v>152</v>
      </c>
      <c r="J3" s="16">
        <v>44998</v>
      </c>
      <c r="K3" s="16">
        <f t="shared" ref="K3:K6" si="0">IF(J3&gt;0,J3+30," ")</f>
        <v>45028</v>
      </c>
      <c r="L3" s="21">
        <v>306900</v>
      </c>
      <c r="M3" s="45">
        <f t="shared" ref="M3:M6" ca="1" si="1">IF(J3&gt;0,(+$B$1-J3),)</f>
        <v>74</v>
      </c>
      <c r="N3" s="18" t="str">
        <f t="shared" ref="N3:N6" ca="1" si="2">IF(M3=0," ",IF(M3&gt;=30,"Муддати тугаган"," "))</f>
        <v>Муддати тугаган</v>
      </c>
      <c r="O3" s="19">
        <f t="shared" ref="O3:O6" ca="1" si="3">IF(M3&gt;=30,L3, " ")</f>
        <v>306900</v>
      </c>
      <c r="P3" s="19" t="str">
        <f t="shared" ref="P3:P6" ca="1" si="4">IF(M3&gt;60,"",(IF(M3&gt;30,O3, "")))</f>
        <v/>
      </c>
      <c r="Q3" s="19">
        <f t="shared" ref="Q3:Q6" ca="1" si="5">IF(M3&gt;90,"",(IF(M3&gt;60,O3, "")))</f>
        <v>306900</v>
      </c>
      <c r="R3" s="19" t="str">
        <f t="shared" ref="R3:R6" ca="1" si="6">IF(M3&gt;90,L3, " ")</f>
        <v xml:space="preserve"> </v>
      </c>
      <c r="S3" s="20"/>
    </row>
    <row r="4" spans="2:19" x14ac:dyDescent="0.2">
      <c r="B4" s="13" t="s">
        <v>92</v>
      </c>
      <c r="C4" s="40">
        <v>308918829</v>
      </c>
      <c r="D4" s="14"/>
      <c r="E4" s="14"/>
      <c r="F4" s="15" t="s">
        <v>24</v>
      </c>
      <c r="G4" s="15" t="s">
        <v>93</v>
      </c>
      <c r="H4" s="15" t="s">
        <v>520</v>
      </c>
      <c r="I4" s="15" t="s">
        <v>83</v>
      </c>
      <c r="J4" s="16">
        <v>44935</v>
      </c>
      <c r="K4" s="16">
        <f t="shared" si="0"/>
        <v>44965</v>
      </c>
      <c r="L4" s="22">
        <v>1393300</v>
      </c>
      <c r="M4" s="45">
        <f t="shared" ca="1" si="1"/>
        <v>137</v>
      </c>
      <c r="N4" s="18" t="str">
        <f t="shared" ca="1" si="2"/>
        <v>Муддати тугаган</v>
      </c>
      <c r="O4" s="19">
        <f t="shared" ca="1" si="3"/>
        <v>1393300</v>
      </c>
      <c r="P4" s="19" t="str">
        <f t="shared" ca="1" si="4"/>
        <v/>
      </c>
      <c r="Q4" s="19" t="str">
        <f t="shared" ca="1" si="5"/>
        <v/>
      </c>
      <c r="R4" s="19">
        <f t="shared" ca="1" si="6"/>
        <v>1393300</v>
      </c>
      <c r="S4" s="20"/>
    </row>
    <row r="5" spans="2:19" x14ac:dyDescent="0.2">
      <c r="B5" s="13" t="s">
        <v>20</v>
      </c>
      <c r="C5" s="40">
        <v>204142424</v>
      </c>
      <c r="D5" s="14">
        <v>937649963</v>
      </c>
      <c r="E5" s="14"/>
      <c r="F5" s="15" t="s">
        <v>21</v>
      </c>
      <c r="G5" s="15" t="s">
        <v>22</v>
      </c>
      <c r="H5" s="15" t="s">
        <v>520</v>
      </c>
      <c r="I5" s="15" t="s">
        <v>23</v>
      </c>
      <c r="J5" s="16">
        <v>45028</v>
      </c>
      <c r="K5" s="16">
        <f t="shared" si="0"/>
        <v>45058</v>
      </c>
      <c r="L5" s="17">
        <v>466350</v>
      </c>
      <c r="M5" s="45">
        <f t="shared" ca="1" si="1"/>
        <v>44</v>
      </c>
      <c r="N5" s="18" t="str">
        <f t="shared" ca="1" si="2"/>
        <v>Муддати тугаган</v>
      </c>
      <c r="O5" s="19">
        <f t="shared" ca="1" si="3"/>
        <v>466350</v>
      </c>
      <c r="P5" s="19">
        <f t="shared" ca="1" si="4"/>
        <v>466350</v>
      </c>
      <c r="Q5" s="19" t="str">
        <f t="shared" ca="1" si="5"/>
        <v/>
      </c>
      <c r="R5" s="19" t="str">
        <f t="shared" ca="1" si="6"/>
        <v xml:space="preserve"> </v>
      </c>
      <c r="S5" s="20"/>
    </row>
    <row r="6" spans="2:19" x14ac:dyDescent="0.2">
      <c r="B6" s="13" t="s">
        <v>78</v>
      </c>
      <c r="C6" s="40">
        <v>206979869</v>
      </c>
      <c r="D6" s="14">
        <v>995155550</v>
      </c>
      <c r="E6" s="14"/>
      <c r="F6" s="15" t="s">
        <v>55</v>
      </c>
      <c r="G6" s="15" t="s">
        <v>55</v>
      </c>
      <c r="H6" s="15" t="s">
        <v>520</v>
      </c>
      <c r="I6" s="15" t="s">
        <v>56</v>
      </c>
      <c r="J6" s="16">
        <v>45014</v>
      </c>
      <c r="K6" s="16">
        <f t="shared" si="0"/>
        <v>45044</v>
      </c>
      <c r="L6" s="17">
        <v>6665300</v>
      </c>
      <c r="M6" s="45">
        <f t="shared" ca="1" si="1"/>
        <v>58</v>
      </c>
      <c r="N6" s="18" t="str">
        <f t="shared" ca="1" si="2"/>
        <v>Муддати тугаган</v>
      </c>
      <c r="O6" s="19">
        <f t="shared" ca="1" si="3"/>
        <v>6665300</v>
      </c>
      <c r="P6" s="19">
        <f t="shared" ca="1" si="4"/>
        <v>6665300</v>
      </c>
      <c r="Q6" s="19" t="str">
        <f t="shared" ca="1" si="5"/>
        <v/>
      </c>
      <c r="R6" s="19" t="str">
        <f t="shared" ca="1" si="6"/>
        <v xml:space="preserve"> </v>
      </c>
      <c r="S6" s="20"/>
    </row>
    <row r="7" spans="2:19" x14ac:dyDescent="0.2">
      <c r="B7" s="13" t="s">
        <v>81</v>
      </c>
      <c r="C7" s="40">
        <v>302828343</v>
      </c>
      <c r="D7" s="14">
        <v>974187636</v>
      </c>
      <c r="E7" s="14"/>
      <c r="F7" s="15" t="s">
        <v>24</v>
      </c>
      <c r="G7" s="15" t="s">
        <v>82</v>
      </c>
      <c r="H7" s="15" t="s">
        <v>520</v>
      </c>
      <c r="I7" s="15" t="s">
        <v>83</v>
      </c>
      <c r="J7" s="16">
        <v>45033</v>
      </c>
      <c r="K7" s="16">
        <f t="shared" ref="K7:K12" si="7">IF(J7&gt;0,J7+30," ")</f>
        <v>45063</v>
      </c>
      <c r="L7" s="17">
        <v>1365000</v>
      </c>
      <c r="M7" s="45">
        <f t="shared" ref="M7:M12" ca="1" si="8">IF(J7&gt;0,(+$B$1-J7),)</f>
        <v>39</v>
      </c>
      <c r="N7" s="18" t="str">
        <f t="shared" ref="N7:N12" ca="1" si="9">IF(M7=0," ",IF(M7&gt;=30,"Муддати тугаган"," "))</f>
        <v>Муддати тугаган</v>
      </c>
      <c r="O7" s="19">
        <f t="shared" ref="O7:O12" ca="1" si="10">IF(M7&gt;=30,L7, " ")</f>
        <v>1365000</v>
      </c>
      <c r="P7" s="19">
        <f t="shared" ref="P7:P12" ca="1" si="11">IF(M7&gt;60,"",(IF(M7&gt;30,O7, "")))</f>
        <v>1365000</v>
      </c>
      <c r="Q7" s="19" t="str">
        <f t="shared" ref="Q7:Q12" ca="1" si="12">IF(M7&gt;90,"",(IF(M7&gt;60,O7, "")))</f>
        <v/>
      </c>
      <c r="R7" s="19" t="str">
        <f t="shared" ref="R7:R12" ca="1" si="13">IF(M7&gt;90,L7, " ")</f>
        <v xml:space="preserve"> </v>
      </c>
      <c r="S7" s="20"/>
    </row>
    <row r="8" spans="2:19" x14ac:dyDescent="0.2">
      <c r="B8" s="13" t="s">
        <v>84</v>
      </c>
      <c r="C8" s="40">
        <v>307284963</v>
      </c>
      <c r="D8" s="14">
        <v>952000500</v>
      </c>
      <c r="E8" s="14"/>
      <c r="F8" s="15" t="s">
        <v>30</v>
      </c>
      <c r="G8" s="15" t="s">
        <v>30</v>
      </c>
      <c r="H8" s="15" t="s">
        <v>520</v>
      </c>
      <c r="I8" s="15" t="s">
        <v>31</v>
      </c>
      <c r="J8" s="16">
        <v>44585</v>
      </c>
      <c r="K8" s="16">
        <f t="shared" si="7"/>
        <v>44615</v>
      </c>
      <c r="L8" s="17">
        <f>1534700-500000</f>
        <v>1034700</v>
      </c>
      <c r="M8" s="45">
        <f t="shared" ca="1" si="8"/>
        <v>487</v>
      </c>
      <c r="N8" s="18" t="str">
        <f t="shared" ca="1" si="9"/>
        <v>Муддати тугаган</v>
      </c>
      <c r="O8" s="19">
        <f t="shared" ca="1" si="10"/>
        <v>1034700</v>
      </c>
      <c r="P8" s="19" t="str">
        <f t="shared" ca="1" si="11"/>
        <v/>
      </c>
      <c r="Q8" s="19" t="str">
        <f t="shared" ca="1" si="12"/>
        <v/>
      </c>
      <c r="R8" s="19">
        <f t="shared" ca="1" si="13"/>
        <v>1034700</v>
      </c>
      <c r="S8" s="20"/>
    </row>
    <row r="9" spans="2:19" x14ac:dyDescent="0.2">
      <c r="B9" s="13" t="s">
        <v>546</v>
      </c>
      <c r="C9" s="40">
        <v>306616478</v>
      </c>
      <c r="D9" s="14">
        <v>919467771</v>
      </c>
      <c r="E9" s="14"/>
      <c r="F9" s="15" t="s">
        <v>45</v>
      </c>
      <c r="G9" s="15" t="s">
        <v>86</v>
      </c>
      <c r="H9" s="15" t="s">
        <v>520</v>
      </c>
      <c r="I9" s="15" t="s">
        <v>46</v>
      </c>
      <c r="J9" s="16">
        <v>45033</v>
      </c>
      <c r="K9" s="16">
        <f t="shared" si="7"/>
        <v>45063</v>
      </c>
      <c r="L9" s="17">
        <v>5822950</v>
      </c>
      <c r="M9" s="45">
        <f t="shared" ca="1" si="8"/>
        <v>39</v>
      </c>
      <c r="N9" s="18" t="str">
        <f t="shared" ca="1" si="9"/>
        <v>Муддати тугаган</v>
      </c>
      <c r="O9" s="19">
        <f t="shared" ca="1" si="10"/>
        <v>5822950</v>
      </c>
      <c r="P9" s="19">
        <f t="shared" ca="1" si="11"/>
        <v>5822950</v>
      </c>
      <c r="Q9" s="19" t="str">
        <f t="shared" ca="1" si="12"/>
        <v/>
      </c>
      <c r="R9" s="19" t="str">
        <f t="shared" ca="1" si="13"/>
        <v xml:space="preserve"> </v>
      </c>
      <c r="S9" s="20"/>
    </row>
    <row r="10" spans="2:19" x14ac:dyDescent="0.2">
      <c r="B10" s="13" t="s">
        <v>99</v>
      </c>
      <c r="C10" s="40">
        <v>302667513</v>
      </c>
      <c r="D10" s="14"/>
      <c r="E10" s="14"/>
      <c r="F10" s="15" t="s">
        <v>45</v>
      </c>
      <c r="G10" s="15" t="s">
        <v>86</v>
      </c>
      <c r="H10" s="15" t="s">
        <v>520</v>
      </c>
      <c r="I10" s="15" t="s">
        <v>46</v>
      </c>
      <c r="J10" s="16">
        <v>45015</v>
      </c>
      <c r="K10" s="16">
        <f t="shared" si="7"/>
        <v>45045</v>
      </c>
      <c r="L10" s="21">
        <v>1668000</v>
      </c>
      <c r="M10" s="45">
        <f t="shared" ca="1" si="8"/>
        <v>57</v>
      </c>
      <c r="N10" s="18" t="str">
        <f t="shared" ca="1" si="9"/>
        <v>Муддати тугаган</v>
      </c>
      <c r="O10" s="19">
        <f t="shared" ca="1" si="10"/>
        <v>1668000</v>
      </c>
      <c r="P10" s="19">
        <f t="shared" ca="1" si="11"/>
        <v>1668000</v>
      </c>
      <c r="Q10" s="19" t="str">
        <f t="shared" ca="1" si="12"/>
        <v/>
      </c>
      <c r="R10" s="19" t="str">
        <f t="shared" ca="1" si="13"/>
        <v xml:space="preserve"> </v>
      </c>
      <c r="S10" s="20"/>
    </row>
    <row r="11" spans="2:19" x14ac:dyDescent="0.2">
      <c r="B11" s="13" t="s">
        <v>582</v>
      </c>
      <c r="C11" s="40">
        <v>302667513</v>
      </c>
      <c r="D11" s="14">
        <v>912275077</v>
      </c>
      <c r="E11" s="14"/>
      <c r="F11" s="15" t="s">
        <v>45</v>
      </c>
      <c r="G11" s="15" t="s">
        <v>86</v>
      </c>
      <c r="H11" s="15" t="s">
        <v>520</v>
      </c>
      <c r="I11" s="15" t="s">
        <v>46</v>
      </c>
      <c r="J11" s="16">
        <v>45015</v>
      </c>
      <c r="K11" s="16">
        <f t="shared" si="7"/>
        <v>45045</v>
      </c>
      <c r="L11" s="17">
        <v>568000</v>
      </c>
      <c r="M11" s="45">
        <f t="shared" ca="1" si="8"/>
        <v>57</v>
      </c>
      <c r="N11" s="18" t="str">
        <f t="shared" ca="1" si="9"/>
        <v>Муддати тугаган</v>
      </c>
      <c r="O11" s="19">
        <f t="shared" ca="1" si="10"/>
        <v>568000</v>
      </c>
      <c r="P11" s="19">
        <f t="shared" ca="1" si="11"/>
        <v>568000</v>
      </c>
      <c r="Q11" s="19" t="str">
        <f t="shared" ca="1" si="12"/>
        <v/>
      </c>
      <c r="R11" s="19" t="str">
        <f t="shared" ca="1" si="13"/>
        <v xml:space="preserve"> </v>
      </c>
      <c r="S11" s="20"/>
    </row>
    <row r="12" spans="2:19" x14ac:dyDescent="0.2">
      <c r="B12" s="13" t="s">
        <v>105</v>
      </c>
      <c r="C12" s="41">
        <v>305865336</v>
      </c>
      <c r="D12" s="14">
        <v>934852137</v>
      </c>
      <c r="E12" s="14"/>
      <c r="F12" s="15" t="s">
        <v>43</v>
      </c>
      <c r="G12" s="15" t="s">
        <v>106</v>
      </c>
      <c r="H12" s="15" t="s">
        <v>520</v>
      </c>
      <c r="I12" s="15" t="s">
        <v>44</v>
      </c>
      <c r="J12" s="16">
        <v>45015</v>
      </c>
      <c r="K12" s="16">
        <f t="shared" si="7"/>
        <v>45045</v>
      </c>
      <c r="L12" s="17">
        <v>1141720</v>
      </c>
      <c r="M12" s="45">
        <f t="shared" ca="1" si="8"/>
        <v>57</v>
      </c>
      <c r="N12" s="18" t="str">
        <f t="shared" ca="1" si="9"/>
        <v>Муддати тугаган</v>
      </c>
      <c r="O12" s="19">
        <f t="shared" ca="1" si="10"/>
        <v>1141720</v>
      </c>
      <c r="P12" s="19">
        <f t="shared" ca="1" si="11"/>
        <v>1141720</v>
      </c>
      <c r="Q12" s="19" t="str">
        <f t="shared" ca="1" si="12"/>
        <v/>
      </c>
      <c r="R12" s="19" t="str">
        <f t="shared" ca="1" si="13"/>
        <v xml:space="preserve"> </v>
      </c>
      <c r="S12" s="20"/>
    </row>
    <row r="13" spans="2:19" x14ac:dyDescent="0.2">
      <c r="B13" s="13" t="s">
        <v>108</v>
      </c>
      <c r="C13" s="40">
        <v>200238963</v>
      </c>
      <c r="D13" s="14">
        <v>914988800</v>
      </c>
      <c r="E13" s="14"/>
      <c r="F13" s="15" t="s">
        <v>521</v>
      </c>
      <c r="G13" s="15" t="s">
        <v>30</v>
      </c>
      <c r="H13" s="15" t="s">
        <v>508</v>
      </c>
      <c r="I13" s="15" t="s">
        <v>511</v>
      </c>
      <c r="J13" s="16">
        <v>45029</v>
      </c>
      <c r="K13" s="16">
        <f t="shared" ref="K13:K23" si="14">IF(J13&gt;0,J13+30," ")</f>
        <v>45059</v>
      </c>
      <c r="L13" s="17">
        <v>4194000</v>
      </c>
      <c r="M13" s="45">
        <f t="shared" ref="M13:M23" ca="1" si="15">IF(J13&gt;0,(+$B$1-J13),)</f>
        <v>43</v>
      </c>
      <c r="N13" s="18" t="str">
        <f t="shared" ref="N13:N23" ca="1" si="16">IF(M13=0," ",IF(M13&gt;=30,"Муддати тугаган"," "))</f>
        <v>Муддати тугаган</v>
      </c>
      <c r="O13" s="19">
        <f t="shared" ref="O13:O23" ca="1" si="17">IF(M13&gt;=30,L13, " ")</f>
        <v>4194000</v>
      </c>
      <c r="P13" s="19">
        <f t="shared" ref="P13:P23" ca="1" si="18">IF(M13&gt;60,"",(IF(M13&gt;30,O13, "")))</f>
        <v>4194000</v>
      </c>
      <c r="Q13" s="19" t="str">
        <f t="shared" ref="Q13:Q23" ca="1" si="19">IF(M13&gt;90,"",(IF(M13&gt;60,O13, "")))</f>
        <v/>
      </c>
      <c r="R13" s="19" t="str">
        <f t="shared" ref="R13:R23" ca="1" si="20">IF(M13&gt;90,L13, " ")</f>
        <v xml:space="preserve"> </v>
      </c>
      <c r="S13" s="20"/>
    </row>
    <row r="14" spans="2:19" x14ac:dyDescent="0.2">
      <c r="B14" s="13" t="s">
        <v>108</v>
      </c>
      <c r="C14" s="40">
        <v>200238963</v>
      </c>
      <c r="D14" s="14">
        <v>914988800</v>
      </c>
      <c r="E14" s="14"/>
      <c r="F14" s="15" t="s">
        <v>521</v>
      </c>
      <c r="G14" s="15" t="s">
        <v>30</v>
      </c>
      <c r="H14" s="15" t="s">
        <v>508</v>
      </c>
      <c r="I14" s="15" t="s">
        <v>511</v>
      </c>
      <c r="J14" s="16">
        <v>45012</v>
      </c>
      <c r="K14" s="16">
        <f t="shared" si="14"/>
        <v>45042</v>
      </c>
      <c r="L14" s="17">
        <v>5985000</v>
      </c>
      <c r="M14" s="45">
        <f t="shared" ca="1" si="15"/>
        <v>60</v>
      </c>
      <c r="N14" s="18" t="str">
        <f t="shared" ca="1" si="16"/>
        <v>Муддати тугаган</v>
      </c>
      <c r="O14" s="19">
        <f t="shared" ca="1" si="17"/>
        <v>5985000</v>
      </c>
      <c r="P14" s="19">
        <f t="shared" ca="1" si="18"/>
        <v>5985000</v>
      </c>
      <c r="Q14" s="19" t="str">
        <f t="shared" ca="1" si="19"/>
        <v/>
      </c>
      <c r="R14" s="19" t="str">
        <f t="shared" ca="1" si="20"/>
        <v xml:space="preserve"> </v>
      </c>
      <c r="S14" s="20"/>
    </row>
    <row r="15" spans="2:19" x14ac:dyDescent="0.2">
      <c r="B15" s="13" t="s">
        <v>108</v>
      </c>
      <c r="C15" s="40">
        <v>200238963</v>
      </c>
      <c r="D15" s="14">
        <v>914988800</v>
      </c>
      <c r="E15" s="14"/>
      <c r="F15" s="15" t="s">
        <v>30</v>
      </c>
      <c r="G15" s="15" t="s">
        <v>30</v>
      </c>
      <c r="H15" s="15" t="s">
        <v>520</v>
      </c>
      <c r="I15" s="15" t="s">
        <v>491</v>
      </c>
      <c r="J15" s="16">
        <v>45041</v>
      </c>
      <c r="K15" s="16">
        <f t="shared" si="14"/>
        <v>45071</v>
      </c>
      <c r="L15" s="17">
        <v>10370350</v>
      </c>
      <c r="M15" s="45">
        <f t="shared" ca="1" si="15"/>
        <v>31</v>
      </c>
      <c r="N15" s="18" t="str">
        <f t="shared" ca="1" si="16"/>
        <v>Муддати тугаган</v>
      </c>
      <c r="O15" s="19">
        <f t="shared" ca="1" si="17"/>
        <v>10370350</v>
      </c>
      <c r="P15" s="19">
        <f t="shared" ca="1" si="18"/>
        <v>10370350</v>
      </c>
      <c r="Q15" s="19" t="str">
        <f t="shared" ca="1" si="19"/>
        <v/>
      </c>
      <c r="R15" s="19" t="str">
        <f t="shared" ca="1" si="20"/>
        <v xml:space="preserve"> </v>
      </c>
      <c r="S15" s="20"/>
    </row>
    <row r="16" spans="2:19" x14ac:dyDescent="0.2">
      <c r="B16" s="13" t="s">
        <v>112</v>
      </c>
      <c r="C16" s="40">
        <v>203621114</v>
      </c>
      <c r="D16" s="14"/>
      <c r="E16" s="14"/>
      <c r="F16" s="15" t="s">
        <v>24</v>
      </c>
      <c r="G16" s="15" t="s">
        <v>90</v>
      </c>
      <c r="H16" s="15" t="s">
        <v>520</v>
      </c>
      <c r="I16" s="15" t="s">
        <v>91</v>
      </c>
      <c r="J16" s="16">
        <v>44923</v>
      </c>
      <c r="K16" s="16">
        <f t="shared" si="14"/>
        <v>44953</v>
      </c>
      <c r="L16" s="17">
        <v>4200000</v>
      </c>
      <c r="M16" s="45">
        <f t="shared" ca="1" si="15"/>
        <v>149</v>
      </c>
      <c r="N16" s="18" t="str">
        <f t="shared" ca="1" si="16"/>
        <v>Муддати тугаган</v>
      </c>
      <c r="O16" s="19">
        <f t="shared" ca="1" si="17"/>
        <v>4200000</v>
      </c>
      <c r="P16" s="19" t="str">
        <f t="shared" ca="1" si="18"/>
        <v/>
      </c>
      <c r="Q16" s="19" t="str">
        <f t="shared" ca="1" si="19"/>
        <v/>
      </c>
      <c r="R16" s="19">
        <f t="shared" ca="1" si="20"/>
        <v>4200000</v>
      </c>
      <c r="S16" s="20"/>
    </row>
    <row r="17" spans="2:19" x14ac:dyDescent="0.2">
      <c r="B17" s="13" t="s">
        <v>113</v>
      </c>
      <c r="C17" s="40">
        <v>306933306</v>
      </c>
      <c r="D17" s="14">
        <v>916790807</v>
      </c>
      <c r="E17" s="14"/>
      <c r="F17" s="15" t="s">
        <v>24</v>
      </c>
      <c r="G17" s="15" t="s">
        <v>114</v>
      </c>
      <c r="H17" s="15" t="s">
        <v>520</v>
      </c>
      <c r="I17" s="15" t="s">
        <v>26</v>
      </c>
      <c r="J17" s="16">
        <v>44952</v>
      </c>
      <c r="K17" s="16">
        <f t="shared" si="14"/>
        <v>44982</v>
      </c>
      <c r="L17" s="17">
        <v>13498000</v>
      </c>
      <c r="M17" s="45">
        <f t="shared" ca="1" si="15"/>
        <v>120</v>
      </c>
      <c r="N17" s="18" t="str">
        <f t="shared" ca="1" si="16"/>
        <v>Муддати тугаган</v>
      </c>
      <c r="O17" s="19">
        <f t="shared" ca="1" si="17"/>
        <v>13498000</v>
      </c>
      <c r="P17" s="19" t="str">
        <f t="shared" ca="1" si="18"/>
        <v/>
      </c>
      <c r="Q17" s="19" t="str">
        <f t="shared" ca="1" si="19"/>
        <v/>
      </c>
      <c r="R17" s="19">
        <f t="shared" ca="1" si="20"/>
        <v>13498000</v>
      </c>
      <c r="S17" s="20"/>
    </row>
    <row r="18" spans="2:19" x14ac:dyDescent="0.2">
      <c r="B18" s="13" t="s">
        <v>117</v>
      </c>
      <c r="C18" s="40">
        <v>308255713</v>
      </c>
      <c r="D18" s="14">
        <v>883851196</v>
      </c>
      <c r="E18" s="14"/>
      <c r="F18" s="15" t="s">
        <v>45</v>
      </c>
      <c r="G18" s="15" t="s">
        <v>115</v>
      </c>
      <c r="H18" s="15" t="s">
        <v>520</v>
      </c>
      <c r="I18" s="15" t="s">
        <v>116</v>
      </c>
      <c r="J18" s="16">
        <v>45009</v>
      </c>
      <c r="K18" s="16">
        <f t="shared" si="14"/>
        <v>45039</v>
      </c>
      <c r="L18" s="17">
        <v>2702000</v>
      </c>
      <c r="M18" s="45">
        <f t="shared" ca="1" si="15"/>
        <v>63</v>
      </c>
      <c r="N18" s="18" t="str">
        <f t="shared" ca="1" si="16"/>
        <v>Муддати тугаган</v>
      </c>
      <c r="O18" s="19">
        <f t="shared" ca="1" si="17"/>
        <v>2702000</v>
      </c>
      <c r="P18" s="19" t="str">
        <f t="shared" ca="1" si="18"/>
        <v/>
      </c>
      <c r="Q18" s="19">
        <f t="shared" ca="1" si="19"/>
        <v>2702000</v>
      </c>
      <c r="R18" s="19" t="str">
        <f t="shared" ca="1" si="20"/>
        <v xml:space="preserve"> </v>
      </c>
      <c r="S18" s="20"/>
    </row>
    <row r="19" spans="2:19" x14ac:dyDescent="0.2">
      <c r="B19" s="13" t="s">
        <v>118</v>
      </c>
      <c r="C19" s="40">
        <v>303031609</v>
      </c>
      <c r="D19" s="14">
        <v>932301111</v>
      </c>
      <c r="E19" s="14"/>
      <c r="F19" s="15" t="s">
        <v>24</v>
      </c>
      <c r="G19" s="15" t="s">
        <v>119</v>
      </c>
      <c r="H19" s="15" t="s">
        <v>520</v>
      </c>
      <c r="I19" s="15" t="s">
        <v>101</v>
      </c>
      <c r="J19" s="16">
        <v>45022</v>
      </c>
      <c r="K19" s="16">
        <f t="shared" si="14"/>
        <v>45052</v>
      </c>
      <c r="L19" s="21">
        <v>2035520</v>
      </c>
      <c r="M19" s="45">
        <f t="shared" ca="1" si="15"/>
        <v>50</v>
      </c>
      <c r="N19" s="18" t="str">
        <f t="shared" ca="1" si="16"/>
        <v>Муддати тугаган</v>
      </c>
      <c r="O19" s="19">
        <f t="shared" ca="1" si="17"/>
        <v>2035520</v>
      </c>
      <c r="P19" s="19">
        <f t="shared" ca="1" si="18"/>
        <v>2035520</v>
      </c>
      <c r="Q19" s="19" t="str">
        <f t="shared" ca="1" si="19"/>
        <v/>
      </c>
      <c r="R19" s="19" t="str">
        <f t="shared" ca="1" si="20"/>
        <v xml:space="preserve"> </v>
      </c>
      <c r="S19" s="20"/>
    </row>
    <row r="20" spans="2:19" x14ac:dyDescent="0.2">
      <c r="B20" s="13" t="s">
        <v>120</v>
      </c>
      <c r="C20" s="40">
        <v>307184257</v>
      </c>
      <c r="D20" s="14">
        <v>919105505</v>
      </c>
      <c r="E20" s="14"/>
      <c r="F20" s="15" t="s">
        <v>21</v>
      </c>
      <c r="G20" s="15" t="s">
        <v>121</v>
      </c>
      <c r="H20" s="15" t="s">
        <v>520</v>
      </c>
      <c r="I20" s="15" t="s">
        <v>70</v>
      </c>
      <c r="J20" s="16">
        <v>44922</v>
      </c>
      <c r="K20" s="16">
        <f t="shared" si="14"/>
        <v>44952</v>
      </c>
      <c r="L20" s="17">
        <v>6222000</v>
      </c>
      <c r="M20" s="45">
        <f t="shared" ca="1" si="15"/>
        <v>150</v>
      </c>
      <c r="N20" s="18" t="str">
        <f t="shared" ca="1" si="16"/>
        <v>Муддати тугаган</v>
      </c>
      <c r="O20" s="19">
        <f t="shared" ca="1" si="17"/>
        <v>6222000</v>
      </c>
      <c r="P20" s="19" t="str">
        <f t="shared" ca="1" si="18"/>
        <v/>
      </c>
      <c r="Q20" s="19" t="str">
        <f t="shared" ca="1" si="19"/>
        <v/>
      </c>
      <c r="R20" s="19">
        <f t="shared" ca="1" si="20"/>
        <v>6222000</v>
      </c>
      <c r="S20" s="20"/>
    </row>
    <row r="21" spans="2:19" x14ac:dyDescent="0.2">
      <c r="B21" s="13" t="s">
        <v>120</v>
      </c>
      <c r="C21" s="40">
        <v>307184257</v>
      </c>
      <c r="D21" s="14">
        <v>919105505</v>
      </c>
      <c r="E21" s="14"/>
      <c r="F21" s="15" t="s">
        <v>21</v>
      </c>
      <c r="G21" s="15" t="s">
        <v>121</v>
      </c>
      <c r="H21" s="15" t="s">
        <v>520</v>
      </c>
      <c r="I21" s="15" t="s">
        <v>70</v>
      </c>
      <c r="J21" s="16">
        <v>44924</v>
      </c>
      <c r="K21" s="16">
        <f t="shared" si="14"/>
        <v>44954</v>
      </c>
      <c r="L21" s="17">
        <v>13876950</v>
      </c>
      <c r="M21" s="45">
        <f t="shared" ca="1" si="15"/>
        <v>148</v>
      </c>
      <c r="N21" s="18" t="str">
        <f t="shared" ca="1" si="16"/>
        <v>Муддати тугаган</v>
      </c>
      <c r="O21" s="19">
        <f t="shared" ca="1" si="17"/>
        <v>13876950</v>
      </c>
      <c r="P21" s="19" t="str">
        <f t="shared" ca="1" si="18"/>
        <v/>
      </c>
      <c r="Q21" s="19" t="str">
        <f t="shared" ca="1" si="19"/>
        <v/>
      </c>
      <c r="R21" s="19">
        <f t="shared" ca="1" si="20"/>
        <v>13876950</v>
      </c>
      <c r="S21" s="20"/>
    </row>
    <row r="22" spans="2:19" x14ac:dyDescent="0.2">
      <c r="B22" s="13" t="s">
        <v>123</v>
      </c>
      <c r="C22" s="40">
        <v>305134880</v>
      </c>
      <c r="D22" s="14">
        <v>911121710</v>
      </c>
      <c r="E22" s="14"/>
      <c r="F22" s="15" t="s">
        <v>24</v>
      </c>
      <c r="G22" s="15" t="s">
        <v>24</v>
      </c>
      <c r="H22" s="15" t="s">
        <v>520</v>
      </c>
      <c r="I22" s="15" t="s">
        <v>91</v>
      </c>
      <c r="J22" s="16">
        <v>45027</v>
      </c>
      <c r="K22" s="16">
        <f t="shared" si="14"/>
        <v>45057</v>
      </c>
      <c r="L22" s="17">
        <v>1180000</v>
      </c>
      <c r="M22" s="45">
        <f t="shared" ca="1" si="15"/>
        <v>45</v>
      </c>
      <c r="N22" s="18" t="str">
        <f t="shared" ca="1" si="16"/>
        <v>Муддати тугаган</v>
      </c>
      <c r="O22" s="19">
        <f t="shared" ca="1" si="17"/>
        <v>1180000</v>
      </c>
      <c r="P22" s="19">
        <f t="shared" ca="1" si="18"/>
        <v>1180000</v>
      </c>
      <c r="Q22" s="19" t="str">
        <f t="shared" ca="1" si="19"/>
        <v/>
      </c>
      <c r="R22" s="19" t="str">
        <f t="shared" ca="1" si="20"/>
        <v xml:space="preserve"> </v>
      </c>
      <c r="S22" s="20"/>
    </row>
    <row r="23" spans="2:19" x14ac:dyDescent="0.2">
      <c r="B23" s="13" t="s">
        <v>123</v>
      </c>
      <c r="C23" s="40">
        <v>305134880</v>
      </c>
      <c r="D23" s="14">
        <v>911121710</v>
      </c>
      <c r="E23" s="14"/>
      <c r="F23" s="15" t="s">
        <v>24</v>
      </c>
      <c r="G23" s="15" t="s">
        <v>24</v>
      </c>
      <c r="H23" s="15" t="s">
        <v>520</v>
      </c>
      <c r="I23" s="15" t="s">
        <v>101</v>
      </c>
      <c r="J23" s="16">
        <v>45033</v>
      </c>
      <c r="K23" s="16">
        <f t="shared" si="14"/>
        <v>45063</v>
      </c>
      <c r="L23" s="17">
        <v>2547000</v>
      </c>
      <c r="M23" s="45">
        <f t="shared" ca="1" si="15"/>
        <v>39</v>
      </c>
      <c r="N23" s="18" t="str">
        <f t="shared" ca="1" si="16"/>
        <v>Муддати тугаган</v>
      </c>
      <c r="O23" s="19">
        <f t="shared" ca="1" si="17"/>
        <v>2547000</v>
      </c>
      <c r="P23" s="19">
        <f t="shared" ca="1" si="18"/>
        <v>2547000</v>
      </c>
      <c r="Q23" s="19" t="str">
        <f t="shared" ca="1" si="19"/>
        <v/>
      </c>
      <c r="R23" s="19" t="str">
        <f t="shared" ca="1" si="20"/>
        <v xml:space="preserve"> </v>
      </c>
      <c r="S23" s="20"/>
    </row>
    <row r="24" spans="2:19" x14ac:dyDescent="0.2">
      <c r="B24" s="13" t="s">
        <v>124</v>
      </c>
      <c r="C24" s="40">
        <v>302406948</v>
      </c>
      <c r="D24" s="14">
        <v>944690087</v>
      </c>
      <c r="E24" s="14"/>
      <c r="F24" s="15" t="s">
        <v>21</v>
      </c>
      <c r="G24" s="15" t="s">
        <v>125</v>
      </c>
      <c r="H24" s="15" t="s">
        <v>520</v>
      </c>
      <c r="I24" s="15" t="s">
        <v>72</v>
      </c>
      <c r="J24" s="16">
        <v>45013</v>
      </c>
      <c r="K24" s="16">
        <f t="shared" ref="K24:K28" si="21">IF(J24&gt;0,J24+30," ")</f>
        <v>45043</v>
      </c>
      <c r="L24" s="21">
        <v>3299370</v>
      </c>
      <c r="M24" s="45">
        <f t="shared" ref="M24:M28" ca="1" si="22">IF(J24&gt;0,(+$B$1-J24),)</f>
        <v>59</v>
      </c>
      <c r="N24" s="18" t="str">
        <f t="shared" ref="N24:N28" ca="1" si="23">IF(M24=0," ",IF(M24&gt;=30,"Муддати тугаган"," "))</f>
        <v>Муддати тугаган</v>
      </c>
      <c r="O24" s="19">
        <f t="shared" ref="O24:O28" ca="1" si="24">IF(M24&gt;=30,L24, " ")</f>
        <v>3299370</v>
      </c>
      <c r="P24" s="19">
        <f t="shared" ref="P24:P28" ca="1" si="25">IF(M24&gt;60,"",(IF(M24&gt;30,O24, "")))</f>
        <v>3299370</v>
      </c>
      <c r="Q24" s="19" t="str">
        <f t="shared" ref="Q24:Q28" ca="1" si="26">IF(M24&gt;90,"",(IF(M24&gt;60,O24, "")))</f>
        <v/>
      </c>
      <c r="R24" s="19" t="str">
        <f t="shared" ref="R24:R28" ca="1" si="27">IF(M24&gt;90,L24, " ")</f>
        <v xml:space="preserve"> </v>
      </c>
      <c r="S24" s="20"/>
    </row>
    <row r="25" spans="2:19" x14ac:dyDescent="0.2">
      <c r="B25" s="13" t="s">
        <v>127</v>
      </c>
      <c r="C25" s="40">
        <v>302545159</v>
      </c>
      <c r="D25" s="14">
        <v>995059991</v>
      </c>
      <c r="E25" s="14"/>
      <c r="F25" s="15" t="s">
        <v>45</v>
      </c>
      <c r="G25" s="15" t="s">
        <v>96</v>
      </c>
      <c r="H25" s="15" t="s">
        <v>520</v>
      </c>
      <c r="I25" s="15" t="s">
        <v>46</v>
      </c>
      <c r="J25" s="16">
        <v>45021</v>
      </c>
      <c r="K25" s="16">
        <f t="shared" si="21"/>
        <v>45051</v>
      </c>
      <c r="L25" s="17">
        <v>8104100</v>
      </c>
      <c r="M25" s="45">
        <f t="shared" ca="1" si="22"/>
        <v>51</v>
      </c>
      <c r="N25" s="18" t="str">
        <f t="shared" ca="1" si="23"/>
        <v>Муддати тугаган</v>
      </c>
      <c r="O25" s="19">
        <f t="shared" ca="1" si="24"/>
        <v>8104100</v>
      </c>
      <c r="P25" s="19">
        <f t="shared" ca="1" si="25"/>
        <v>8104100</v>
      </c>
      <c r="Q25" s="19" t="str">
        <f t="shared" ca="1" si="26"/>
        <v/>
      </c>
      <c r="R25" s="19" t="str">
        <f t="shared" ca="1" si="27"/>
        <v xml:space="preserve"> </v>
      </c>
      <c r="S25" s="20"/>
    </row>
    <row r="26" spans="2:19" x14ac:dyDescent="0.2">
      <c r="B26" s="24" t="s">
        <v>130</v>
      </c>
      <c r="C26" s="43">
        <v>306886451</v>
      </c>
      <c r="D26" s="25">
        <v>999606701</v>
      </c>
      <c r="E26" s="14"/>
      <c r="F26" s="26" t="s">
        <v>64</v>
      </c>
      <c r="G26" s="26" t="s">
        <v>64</v>
      </c>
      <c r="H26" s="26" t="s">
        <v>520</v>
      </c>
      <c r="I26" s="26" t="s">
        <v>65</v>
      </c>
      <c r="J26" s="27">
        <v>44258</v>
      </c>
      <c r="K26" s="27">
        <f t="shared" si="21"/>
        <v>44288</v>
      </c>
      <c r="L26" s="37">
        <f>5200000-2500000</f>
        <v>2700000</v>
      </c>
      <c r="M26" s="46">
        <f t="shared" ca="1" si="22"/>
        <v>814</v>
      </c>
      <c r="N26" s="57" t="str">
        <f t="shared" ca="1" si="23"/>
        <v>Муддати тугаган</v>
      </c>
      <c r="O26" s="29">
        <f t="shared" ca="1" si="24"/>
        <v>2700000</v>
      </c>
      <c r="P26" s="29" t="str">
        <f t="shared" ca="1" si="25"/>
        <v/>
      </c>
      <c r="Q26" s="29" t="str">
        <f t="shared" ca="1" si="26"/>
        <v/>
      </c>
      <c r="R26" s="29">
        <f t="shared" ca="1" si="27"/>
        <v>2700000</v>
      </c>
      <c r="S26" s="20"/>
    </row>
    <row r="27" spans="2:19" x14ac:dyDescent="0.2">
      <c r="B27" s="13" t="s">
        <v>568</v>
      </c>
      <c r="C27" s="40">
        <v>979975145</v>
      </c>
      <c r="D27" s="14"/>
      <c r="E27" s="14"/>
      <c r="F27" s="15" t="s">
        <v>30</v>
      </c>
      <c r="G27" s="15" t="s">
        <v>490</v>
      </c>
      <c r="H27" s="15" t="s">
        <v>520</v>
      </c>
      <c r="I27" s="15" t="s">
        <v>491</v>
      </c>
      <c r="J27" s="16">
        <v>44999</v>
      </c>
      <c r="K27" s="16">
        <f t="shared" si="21"/>
        <v>45029</v>
      </c>
      <c r="L27" s="21">
        <v>977600</v>
      </c>
      <c r="M27" s="45">
        <f t="shared" ca="1" si="22"/>
        <v>73</v>
      </c>
      <c r="N27" s="18" t="str">
        <f t="shared" ca="1" si="23"/>
        <v>Муддати тугаган</v>
      </c>
      <c r="O27" s="19">
        <f t="shared" ca="1" si="24"/>
        <v>977600</v>
      </c>
      <c r="P27" s="19" t="str">
        <f t="shared" ca="1" si="25"/>
        <v/>
      </c>
      <c r="Q27" s="19">
        <f t="shared" ca="1" si="26"/>
        <v>977600</v>
      </c>
      <c r="R27" s="19" t="str">
        <f t="shared" ca="1" si="27"/>
        <v xml:space="preserve"> </v>
      </c>
      <c r="S27" s="20"/>
    </row>
    <row r="28" spans="2:19" x14ac:dyDescent="0.2">
      <c r="B28" s="13" t="s">
        <v>135</v>
      </c>
      <c r="C28" s="40">
        <v>307707577</v>
      </c>
      <c r="D28" s="14">
        <v>919797975</v>
      </c>
      <c r="E28" s="14"/>
      <c r="F28" s="15" t="s">
        <v>36</v>
      </c>
      <c r="G28" s="15" t="s">
        <v>136</v>
      </c>
      <c r="H28" s="15" t="s">
        <v>520</v>
      </c>
      <c r="I28" s="15" t="s">
        <v>37</v>
      </c>
      <c r="J28" s="16">
        <v>45009</v>
      </c>
      <c r="K28" s="16">
        <f t="shared" si="21"/>
        <v>45039</v>
      </c>
      <c r="L28" s="17">
        <v>1046700</v>
      </c>
      <c r="M28" s="45">
        <f t="shared" ca="1" si="22"/>
        <v>63</v>
      </c>
      <c r="N28" s="18" t="str">
        <f t="shared" ca="1" si="23"/>
        <v>Муддати тугаган</v>
      </c>
      <c r="O28" s="19">
        <f t="shared" ca="1" si="24"/>
        <v>1046700</v>
      </c>
      <c r="P28" s="19" t="str">
        <f t="shared" ca="1" si="25"/>
        <v/>
      </c>
      <c r="Q28" s="19">
        <f t="shared" ca="1" si="26"/>
        <v>1046700</v>
      </c>
      <c r="R28" s="19" t="str">
        <f t="shared" ca="1" si="27"/>
        <v xml:space="preserve"> </v>
      </c>
      <c r="S28" s="20"/>
    </row>
    <row r="29" spans="2:19" x14ac:dyDescent="0.2">
      <c r="B29" s="13" t="s">
        <v>139</v>
      </c>
      <c r="C29" s="40">
        <v>201162268</v>
      </c>
      <c r="D29" s="14">
        <v>903006408</v>
      </c>
      <c r="E29" s="14"/>
      <c r="F29" s="15" t="s">
        <v>24</v>
      </c>
      <c r="G29" s="15" t="s">
        <v>25</v>
      </c>
      <c r="H29" s="15" t="s">
        <v>520</v>
      </c>
      <c r="I29" s="15" t="s">
        <v>26</v>
      </c>
      <c r="J29" s="16">
        <v>44587</v>
      </c>
      <c r="K29" s="16">
        <f t="shared" ref="K29:K33" si="28">IF(J29&gt;0,J29+30," ")</f>
        <v>44617</v>
      </c>
      <c r="L29" s="21">
        <v>855000</v>
      </c>
      <c r="M29" s="45">
        <f t="shared" ref="M29:M33" ca="1" si="29">IF(J29&gt;0,(+$B$1-J29),)</f>
        <v>485</v>
      </c>
      <c r="N29" s="18" t="str">
        <f t="shared" ref="N29:N33" ca="1" si="30">IF(M29=0," ",IF(M29&gt;=30,"Муддати тугаган"," "))</f>
        <v>Муддати тугаган</v>
      </c>
      <c r="O29" s="19">
        <f t="shared" ref="O29:O33" ca="1" si="31">IF(M29&gt;=30,L29, " ")</f>
        <v>855000</v>
      </c>
      <c r="P29" s="19" t="str">
        <f t="shared" ref="P29:P33" ca="1" si="32">IF(M29&gt;60,"",(IF(M29&gt;30,O29, "")))</f>
        <v/>
      </c>
      <c r="Q29" s="19" t="str">
        <f t="shared" ref="Q29:Q33" ca="1" si="33">IF(M29&gt;90,"",(IF(M29&gt;60,O29, "")))</f>
        <v/>
      </c>
      <c r="R29" s="19">
        <f t="shared" ref="R29:R33" ca="1" si="34">IF(M29&gt;90,L29, " ")</f>
        <v>855000</v>
      </c>
      <c r="S29" s="20"/>
    </row>
    <row r="30" spans="2:19" x14ac:dyDescent="0.2">
      <c r="B30" s="13" t="s">
        <v>512</v>
      </c>
      <c r="C30" s="40">
        <v>306784745</v>
      </c>
      <c r="D30" s="14"/>
      <c r="E30" s="14"/>
      <c r="F30" s="15" t="s">
        <v>526</v>
      </c>
      <c r="G30" s="15" t="s">
        <v>151</v>
      </c>
      <c r="H30" s="15" t="s">
        <v>508</v>
      </c>
      <c r="I30" s="15" t="s">
        <v>513</v>
      </c>
      <c r="J30" s="16">
        <v>44879</v>
      </c>
      <c r="K30" s="16">
        <f t="shared" si="28"/>
        <v>44909</v>
      </c>
      <c r="L30" s="17">
        <v>581200</v>
      </c>
      <c r="M30" s="45">
        <f t="shared" ca="1" si="29"/>
        <v>193</v>
      </c>
      <c r="N30" s="18" t="str">
        <f t="shared" ca="1" si="30"/>
        <v>Муддати тугаган</v>
      </c>
      <c r="O30" s="19">
        <f t="shared" ca="1" si="31"/>
        <v>581200</v>
      </c>
      <c r="P30" s="19" t="str">
        <f t="shared" ca="1" si="32"/>
        <v/>
      </c>
      <c r="Q30" s="19" t="str">
        <f t="shared" ca="1" si="33"/>
        <v/>
      </c>
      <c r="R30" s="19">
        <f t="shared" ca="1" si="34"/>
        <v>581200</v>
      </c>
      <c r="S30" s="20"/>
    </row>
    <row r="31" spans="2:19" x14ac:dyDescent="0.2">
      <c r="B31" s="13" t="s">
        <v>145</v>
      </c>
      <c r="C31" s="40">
        <v>303893446</v>
      </c>
      <c r="D31" s="14"/>
      <c r="E31" s="14"/>
      <c r="F31" s="15" t="s">
        <v>64</v>
      </c>
      <c r="G31" s="15" t="s">
        <v>146</v>
      </c>
      <c r="H31" s="15" t="s">
        <v>520</v>
      </c>
      <c r="I31" s="15" t="s">
        <v>68</v>
      </c>
      <c r="J31" s="16">
        <v>44792</v>
      </c>
      <c r="K31" s="16">
        <f t="shared" si="28"/>
        <v>44822</v>
      </c>
      <c r="L31" s="21">
        <v>2295600</v>
      </c>
      <c r="M31" s="45">
        <f t="shared" ca="1" si="29"/>
        <v>280</v>
      </c>
      <c r="N31" s="18" t="str">
        <f t="shared" ca="1" si="30"/>
        <v>Муддати тугаган</v>
      </c>
      <c r="O31" s="19">
        <f t="shared" ca="1" si="31"/>
        <v>2295600</v>
      </c>
      <c r="P31" s="19" t="str">
        <f t="shared" ca="1" si="32"/>
        <v/>
      </c>
      <c r="Q31" s="19" t="str">
        <f t="shared" ca="1" si="33"/>
        <v/>
      </c>
      <c r="R31" s="19">
        <f t="shared" ca="1" si="34"/>
        <v>2295600</v>
      </c>
      <c r="S31" s="20"/>
    </row>
    <row r="32" spans="2:19" x14ac:dyDescent="0.2">
      <c r="B32" s="13" t="s">
        <v>145</v>
      </c>
      <c r="C32" s="40">
        <v>303893446</v>
      </c>
      <c r="D32" s="14"/>
      <c r="E32" s="14"/>
      <c r="F32" s="15" t="s">
        <v>64</v>
      </c>
      <c r="G32" s="15" t="s">
        <v>146</v>
      </c>
      <c r="H32" s="15" t="s">
        <v>520</v>
      </c>
      <c r="I32" s="15" t="s">
        <v>68</v>
      </c>
      <c r="J32" s="16">
        <v>44746</v>
      </c>
      <c r="K32" s="16">
        <f t="shared" si="28"/>
        <v>44776</v>
      </c>
      <c r="L32" s="21">
        <v>1310600</v>
      </c>
      <c r="M32" s="45">
        <f t="shared" ca="1" si="29"/>
        <v>326</v>
      </c>
      <c r="N32" s="18" t="str">
        <f t="shared" ca="1" si="30"/>
        <v>Муддати тугаган</v>
      </c>
      <c r="O32" s="19">
        <f t="shared" ca="1" si="31"/>
        <v>1310600</v>
      </c>
      <c r="P32" s="19" t="str">
        <f t="shared" ca="1" si="32"/>
        <v/>
      </c>
      <c r="Q32" s="19" t="str">
        <f t="shared" ca="1" si="33"/>
        <v/>
      </c>
      <c r="R32" s="19">
        <f t="shared" ca="1" si="34"/>
        <v>1310600</v>
      </c>
      <c r="S32" s="20"/>
    </row>
    <row r="33" spans="2:19" x14ac:dyDescent="0.2">
      <c r="B33" s="13" t="s">
        <v>585</v>
      </c>
      <c r="C33" s="40">
        <v>307693329</v>
      </c>
      <c r="D33" s="14">
        <v>973099979</v>
      </c>
      <c r="E33" s="14"/>
      <c r="F33" s="15" t="s">
        <v>13</v>
      </c>
      <c r="G33" s="15" t="s">
        <v>133</v>
      </c>
      <c r="H33" s="15" t="s">
        <v>520</v>
      </c>
      <c r="I33" s="15" t="s">
        <v>557</v>
      </c>
      <c r="J33" s="16">
        <v>45019</v>
      </c>
      <c r="K33" s="16">
        <f t="shared" si="28"/>
        <v>45049</v>
      </c>
      <c r="L33" s="17">
        <v>901500</v>
      </c>
      <c r="M33" s="45">
        <f t="shared" ca="1" si="29"/>
        <v>53</v>
      </c>
      <c r="N33" s="18" t="str">
        <f t="shared" ca="1" si="30"/>
        <v>Муддати тугаган</v>
      </c>
      <c r="O33" s="19">
        <f t="shared" ca="1" si="31"/>
        <v>901500</v>
      </c>
      <c r="P33" s="19">
        <f t="shared" ca="1" si="32"/>
        <v>901500</v>
      </c>
      <c r="Q33" s="19" t="str">
        <f t="shared" ca="1" si="33"/>
        <v/>
      </c>
      <c r="R33" s="19" t="str">
        <f t="shared" ca="1" si="34"/>
        <v xml:space="preserve"> </v>
      </c>
      <c r="S33" s="20"/>
    </row>
    <row r="34" spans="2:19" x14ac:dyDescent="0.2">
      <c r="B34" s="13" t="s">
        <v>579</v>
      </c>
      <c r="C34" s="40">
        <v>306681748</v>
      </c>
      <c r="D34" s="14"/>
      <c r="E34" s="14"/>
      <c r="F34" s="15" t="s">
        <v>15</v>
      </c>
      <c r="G34" s="15" t="s">
        <v>500</v>
      </c>
      <c r="H34" s="15" t="s">
        <v>520</v>
      </c>
      <c r="I34" s="15" t="s">
        <v>580</v>
      </c>
      <c r="J34" s="16">
        <v>45015</v>
      </c>
      <c r="K34" s="16">
        <f t="shared" ref="K34:K40" si="35">IF(J34&gt;0,J34+30," ")</f>
        <v>45045</v>
      </c>
      <c r="L34" s="17">
        <v>372800</v>
      </c>
      <c r="M34" s="45">
        <f t="shared" ref="M34:M40" ca="1" si="36">IF(J34&gt;0,(+$B$1-J34),)</f>
        <v>57</v>
      </c>
      <c r="N34" s="18" t="str">
        <f t="shared" ref="N34:N35" ca="1" si="37">IF(M34=0," ",IF(M34&gt;=30,"Муддати тугаган"," "))</f>
        <v>Муддати тугаган</v>
      </c>
      <c r="O34" s="19">
        <f t="shared" ref="O34:O40" ca="1" si="38">IF(M34&gt;=30,L34, " ")</f>
        <v>372800</v>
      </c>
      <c r="P34" s="19">
        <f t="shared" ref="P34:P40" ca="1" si="39">IF(M34&gt;60,"",(IF(M34&gt;30,O34, "")))</f>
        <v>372800</v>
      </c>
      <c r="Q34" s="19" t="str">
        <f t="shared" ref="Q34:Q40" ca="1" si="40">IF(M34&gt;90,"",(IF(M34&gt;60,O34, "")))</f>
        <v/>
      </c>
      <c r="R34" s="19" t="str">
        <f t="shared" ref="R34:R40" ca="1" si="41">IF(M34&gt;90,L34, " ")</f>
        <v xml:space="preserve"> </v>
      </c>
      <c r="S34" s="20"/>
    </row>
    <row r="35" spans="2:19" x14ac:dyDescent="0.2">
      <c r="B35" s="13" t="s">
        <v>572</v>
      </c>
      <c r="C35" s="40">
        <v>300504352</v>
      </c>
      <c r="D35" s="14">
        <v>706152246</v>
      </c>
      <c r="E35" s="14"/>
      <c r="F35" s="15" t="s">
        <v>13</v>
      </c>
      <c r="G35" s="15" t="s">
        <v>573</v>
      </c>
      <c r="H35" s="15" t="s">
        <v>520</v>
      </c>
      <c r="I35" s="15" t="s">
        <v>215</v>
      </c>
      <c r="J35" s="16">
        <v>45002</v>
      </c>
      <c r="K35" s="16">
        <f t="shared" si="35"/>
        <v>45032</v>
      </c>
      <c r="L35" s="17">
        <v>1204000</v>
      </c>
      <c r="M35" s="45">
        <f t="shared" ca="1" si="36"/>
        <v>70</v>
      </c>
      <c r="N35" s="18" t="str">
        <f t="shared" ca="1" si="37"/>
        <v>Муддати тугаган</v>
      </c>
      <c r="O35" s="19">
        <f t="shared" ca="1" si="38"/>
        <v>1204000</v>
      </c>
      <c r="P35" s="19" t="str">
        <f t="shared" ca="1" si="39"/>
        <v/>
      </c>
      <c r="Q35" s="19">
        <f t="shared" ca="1" si="40"/>
        <v>1204000</v>
      </c>
      <c r="R35" s="19" t="str">
        <f t="shared" ca="1" si="41"/>
        <v xml:space="preserve"> </v>
      </c>
      <c r="S35" s="20"/>
    </row>
    <row r="36" spans="2:19" x14ac:dyDescent="0.2">
      <c r="B36" s="13" t="s">
        <v>149</v>
      </c>
      <c r="C36" s="40">
        <v>204691613</v>
      </c>
      <c r="D36" s="14">
        <v>916957473</v>
      </c>
      <c r="E36" s="14"/>
      <c r="F36" s="15" t="s">
        <v>24</v>
      </c>
      <c r="G36" s="15" t="s">
        <v>150</v>
      </c>
      <c r="H36" s="15" t="s">
        <v>520</v>
      </c>
      <c r="I36" s="15" t="s">
        <v>83</v>
      </c>
      <c r="J36" s="16">
        <v>45034</v>
      </c>
      <c r="K36" s="16">
        <f t="shared" si="35"/>
        <v>45064</v>
      </c>
      <c r="L36" s="17">
        <v>1875000</v>
      </c>
      <c r="M36" s="45">
        <f t="shared" ca="1" si="36"/>
        <v>38</v>
      </c>
      <c r="N36" s="18" t="str">
        <f t="shared" ref="N36:N41" ca="1" si="42">IF(M36=0," ",IF(M36&gt;=30,"Муддати тугаган"," "))</f>
        <v>Муддати тугаган</v>
      </c>
      <c r="O36" s="19">
        <f t="shared" ca="1" si="38"/>
        <v>1875000</v>
      </c>
      <c r="P36" s="19">
        <f t="shared" ca="1" si="39"/>
        <v>1875000</v>
      </c>
      <c r="Q36" s="19" t="str">
        <f t="shared" ca="1" si="40"/>
        <v/>
      </c>
      <c r="R36" s="19" t="str">
        <f t="shared" ca="1" si="41"/>
        <v xml:space="preserve"> </v>
      </c>
      <c r="S36" s="20"/>
    </row>
    <row r="37" spans="2:19" x14ac:dyDescent="0.2">
      <c r="B37" s="13" t="s">
        <v>552</v>
      </c>
      <c r="C37" s="40">
        <v>309886892</v>
      </c>
      <c r="D37" s="14">
        <v>997559097</v>
      </c>
      <c r="E37" s="14"/>
      <c r="F37" s="15" t="s">
        <v>45</v>
      </c>
      <c r="G37" s="15" t="s">
        <v>104</v>
      </c>
      <c r="H37" s="15" t="s">
        <v>520</v>
      </c>
      <c r="I37" s="15" t="s">
        <v>551</v>
      </c>
      <c r="J37" s="16">
        <v>44973</v>
      </c>
      <c r="K37" s="16">
        <f t="shared" si="35"/>
        <v>45003</v>
      </c>
      <c r="L37" s="17">
        <v>1042200</v>
      </c>
      <c r="M37" s="45">
        <f t="shared" ca="1" si="36"/>
        <v>99</v>
      </c>
      <c r="N37" s="18" t="str">
        <f t="shared" ca="1" si="42"/>
        <v>Муддати тугаган</v>
      </c>
      <c r="O37" s="19">
        <f t="shared" ca="1" si="38"/>
        <v>1042200</v>
      </c>
      <c r="P37" s="19" t="str">
        <f t="shared" ca="1" si="39"/>
        <v/>
      </c>
      <c r="Q37" s="19" t="str">
        <f t="shared" ca="1" si="40"/>
        <v/>
      </c>
      <c r="R37" s="19">
        <f t="shared" ca="1" si="41"/>
        <v>1042200</v>
      </c>
      <c r="S37" s="20"/>
    </row>
    <row r="38" spans="2:19" x14ac:dyDescent="0.2">
      <c r="B38" s="13" t="s">
        <v>153</v>
      </c>
      <c r="C38" s="40">
        <v>300876104</v>
      </c>
      <c r="D38" s="14">
        <v>906736975</v>
      </c>
      <c r="E38" s="14"/>
      <c r="F38" s="15" t="s">
        <v>45</v>
      </c>
      <c r="G38" s="15" t="s">
        <v>115</v>
      </c>
      <c r="H38" s="15" t="s">
        <v>520</v>
      </c>
      <c r="I38" s="15" t="s">
        <v>116</v>
      </c>
      <c r="J38" s="16">
        <v>44761</v>
      </c>
      <c r="K38" s="16">
        <f t="shared" si="35"/>
        <v>44791</v>
      </c>
      <c r="L38" s="17">
        <v>900</v>
      </c>
      <c r="M38" s="45">
        <f t="shared" ca="1" si="36"/>
        <v>311</v>
      </c>
      <c r="N38" s="18" t="str">
        <f t="shared" ca="1" si="42"/>
        <v>Муддати тугаган</v>
      </c>
      <c r="O38" s="19">
        <f t="shared" ca="1" si="38"/>
        <v>900</v>
      </c>
      <c r="P38" s="19" t="str">
        <f t="shared" ca="1" si="39"/>
        <v/>
      </c>
      <c r="Q38" s="19" t="str">
        <f t="shared" ca="1" si="40"/>
        <v/>
      </c>
      <c r="R38" s="19">
        <f t="shared" ca="1" si="41"/>
        <v>900</v>
      </c>
      <c r="S38" s="20"/>
    </row>
    <row r="39" spans="2:19" x14ac:dyDescent="0.2">
      <c r="B39" s="13" t="s">
        <v>154</v>
      </c>
      <c r="C39" s="40">
        <v>305050702</v>
      </c>
      <c r="D39" s="30">
        <v>995772045</v>
      </c>
      <c r="E39" s="14"/>
      <c r="F39" s="15" t="s">
        <v>523</v>
      </c>
      <c r="G39" s="15" t="s">
        <v>106</v>
      </c>
      <c r="H39" s="15" t="s">
        <v>508</v>
      </c>
      <c r="I39" s="15" t="s">
        <v>518</v>
      </c>
      <c r="J39" s="16">
        <v>44953</v>
      </c>
      <c r="K39" s="16">
        <f t="shared" si="35"/>
        <v>44983</v>
      </c>
      <c r="L39" s="17">
        <v>2096000</v>
      </c>
      <c r="M39" s="45">
        <f t="shared" ca="1" si="36"/>
        <v>119</v>
      </c>
      <c r="N39" s="18" t="str">
        <f t="shared" ca="1" si="42"/>
        <v>Муддати тугаган</v>
      </c>
      <c r="O39" s="19">
        <f t="shared" ca="1" si="38"/>
        <v>2096000</v>
      </c>
      <c r="P39" s="19" t="str">
        <f t="shared" ca="1" si="39"/>
        <v/>
      </c>
      <c r="Q39" s="19" t="str">
        <f t="shared" ca="1" si="40"/>
        <v/>
      </c>
      <c r="R39" s="19">
        <f t="shared" ca="1" si="41"/>
        <v>2096000</v>
      </c>
      <c r="S39" s="20"/>
    </row>
    <row r="40" spans="2:19" x14ac:dyDescent="0.2">
      <c r="B40" s="13" t="s">
        <v>155</v>
      </c>
      <c r="C40" s="40">
        <v>305458730</v>
      </c>
      <c r="D40" s="14">
        <v>941960004</v>
      </c>
      <c r="E40" s="14"/>
      <c r="F40" s="15" t="s">
        <v>15</v>
      </c>
      <c r="G40" s="15" t="s">
        <v>156</v>
      </c>
      <c r="H40" s="15" t="s">
        <v>520</v>
      </c>
      <c r="I40" s="15" t="s">
        <v>41</v>
      </c>
      <c r="J40" s="16">
        <v>45014</v>
      </c>
      <c r="K40" s="16">
        <f t="shared" si="35"/>
        <v>45044</v>
      </c>
      <c r="L40" s="17">
        <v>1423600</v>
      </c>
      <c r="M40" s="45">
        <f t="shared" ca="1" si="36"/>
        <v>58</v>
      </c>
      <c r="N40" s="18" t="str">
        <f t="shared" ca="1" si="42"/>
        <v>Муддати тугаган</v>
      </c>
      <c r="O40" s="19">
        <f t="shared" ca="1" si="38"/>
        <v>1423600</v>
      </c>
      <c r="P40" s="19">
        <f t="shared" ca="1" si="39"/>
        <v>1423600</v>
      </c>
      <c r="Q40" s="19" t="str">
        <f t="shared" ca="1" si="40"/>
        <v/>
      </c>
      <c r="R40" s="19" t="str">
        <f t="shared" ca="1" si="41"/>
        <v xml:space="preserve"> </v>
      </c>
      <c r="S40" s="20"/>
    </row>
    <row r="41" spans="2:19" x14ac:dyDescent="0.2">
      <c r="B41" s="13" t="s">
        <v>157</v>
      </c>
      <c r="C41" s="40">
        <v>302147961</v>
      </c>
      <c r="D41" s="14">
        <v>994533600</v>
      </c>
      <c r="E41" s="14"/>
      <c r="F41" s="15" t="s">
        <v>36</v>
      </c>
      <c r="G41" s="15" t="s">
        <v>158</v>
      </c>
      <c r="H41" s="15" t="s">
        <v>520</v>
      </c>
      <c r="I41" s="15" t="s">
        <v>38</v>
      </c>
      <c r="J41" s="16">
        <v>44917</v>
      </c>
      <c r="K41" s="16">
        <f t="shared" ref="K41:K43" si="43">IF(J41&gt;0,J41+30," ")</f>
        <v>44947</v>
      </c>
      <c r="L41" s="17">
        <v>500</v>
      </c>
      <c r="M41" s="45">
        <f t="shared" ref="M41:M43" ca="1" si="44">IF(J41&gt;0,(+$B$1-J41),)</f>
        <v>155</v>
      </c>
      <c r="N41" s="18" t="str">
        <f t="shared" ca="1" si="42"/>
        <v>Муддати тугаган</v>
      </c>
      <c r="O41" s="19">
        <f t="shared" ref="O41:O43" ca="1" si="45">IF(M41&gt;=30,L41, " ")</f>
        <v>500</v>
      </c>
      <c r="P41" s="19" t="str">
        <f t="shared" ref="P41:P43" ca="1" si="46">IF(M41&gt;60,"",(IF(M41&gt;30,O41, "")))</f>
        <v/>
      </c>
      <c r="Q41" s="19" t="str">
        <f t="shared" ref="Q41:Q43" ca="1" si="47">IF(M41&gt;90,"",(IF(M41&gt;60,O41, "")))</f>
        <v/>
      </c>
      <c r="R41" s="19">
        <f t="shared" ref="R41:R43" ca="1" si="48">IF(M41&gt;90,L41, " ")</f>
        <v>500</v>
      </c>
      <c r="S41" s="20"/>
    </row>
    <row r="42" spans="2:19" x14ac:dyDescent="0.2">
      <c r="B42" s="13" t="s">
        <v>160</v>
      </c>
      <c r="C42" s="40">
        <v>302676154</v>
      </c>
      <c r="D42" s="14">
        <v>934495277</v>
      </c>
      <c r="E42" s="14"/>
      <c r="F42" s="15" t="s">
        <v>30</v>
      </c>
      <c r="G42" s="15" t="s">
        <v>161</v>
      </c>
      <c r="H42" s="15" t="s">
        <v>520</v>
      </c>
      <c r="I42" s="15" t="s">
        <v>34</v>
      </c>
      <c r="J42" s="16">
        <v>44937</v>
      </c>
      <c r="K42" s="16">
        <f t="shared" si="43"/>
        <v>44967</v>
      </c>
      <c r="L42" s="17">
        <v>5100950</v>
      </c>
      <c r="M42" s="45">
        <f t="shared" ca="1" si="44"/>
        <v>135</v>
      </c>
      <c r="N42" s="18" t="str">
        <f t="shared" ref="N42:N44" ca="1" si="49">IF(M42=0," ",IF(M42&gt;=30,"Муддати тугаган"," "))</f>
        <v>Муддати тугаган</v>
      </c>
      <c r="O42" s="19">
        <f t="shared" ca="1" si="45"/>
        <v>5100950</v>
      </c>
      <c r="P42" s="19" t="str">
        <f t="shared" ca="1" si="46"/>
        <v/>
      </c>
      <c r="Q42" s="19" t="str">
        <f t="shared" ca="1" si="47"/>
        <v/>
      </c>
      <c r="R42" s="19">
        <f t="shared" ca="1" si="48"/>
        <v>5100950</v>
      </c>
      <c r="S42" s="20"/>
    </row>
    <row r="43" spans="2:19" x14ac:dyDescent="0.2">
      <c r="B43" s="13" t="s">
        <v>165</v>
      </c>
      <c r="C43" s="40">
        <v>200665741</v>
      </c>
      <c r="D43" s="14"/>
      <c r="E43" s="14"/>
      <c r="F43" s="15" t="s">
        <v>45</v>
      </c>
      <c r="G43" s="15" t="s">
        <v>104</v>
      </c>
      <c r="H43" s="15" t="s">
        <v>520</v>
      </c>
      <c r="I43" s="15" t="s">
        <v>615</v>
      </c>
      <c r="J43" s="16">
        <v>45027</v>
      </c>
      <c r="K43" s="16">
        <f t="shared" si="43"/>
        <v>45057</v>
      </c>
      <c r="L43" s="17">
        <v>4492000</v>
      </c>
      <c r="M43" s="45">
        <f t="shared" ca="1" si="44"/>
        <v>45</v>
      </c>
      <c r="N43" s="18" t="str">
        <f t="shared" ca="1" si="49"/>
        <v>Муддати тугаган</v>
      </c>
      <c r="O43" s="19">
        <f t="shared" ca="1" si="45"/>
        <v>4492000</v>
      </c>
      <c r="P43" s="19">
        <f t="shared" ca="1" si="46"/>
        <v>4492000</v>
      </c>
      <c r="Q43" s="19" t="str">
        <f t="shared" ca="1" si="47"/>
        <v/>
      </c>
      <c r="R43" s="19" t="str">
        <f t="shared" ca="1" si="48"/>
        <v xml:space="preserve"> </v>
      </c>
      <c r="S43" s="20"/>
    </row>
    <row r="44" spans="2:19" x14ac:dyDescent="0.2">
      <c r="B44" s="13" t="s">
        <v>168</v>
      </c>
      <c r="C44" s="40">
        <v>305500164</v>
      </c>
      <c r="D44" s="14">
        <v>933440127</v>
      </c>
      <c r="E44" s="14"/>
      <c r="F44" s="15" t="s">
        <v>64</v>
      </c>
      <c r="G44" s="15" t="s">
        <v>169</v>
      </c>
      <c r="H44" s="15" t="s">
        <v>520</v>
      </c>
      <c r="I44" s="15" t="s">
        <v>68</v>
      </c>
      <c r="J44" s="16">
        <v>44768</v>
      </c>
      <c r="K44" s="16">
        <f t="shared" ref="K44:K47" si="50">IF(J44&gt;0,J44+30," ")</f>
        <v>44798</v>
      </c>
      <c r="L44" s="17">
        <v>1846150</v>
      </c>
      <c r="M44" s="45">
        <f t="shared" ref="M44:M47" ca="1" si="51">IF(J44&gt;0,(+$B$1-J44),)</f>
        <v>304</v>
      </c>
      <c r="N44" s="18" t="str">
        <f t="shared" ca="1" si="49"/>
        <v>Муддати тугаган</v>
      </c>
      <c r="O44" s="19">
        <f t="shared" ref="O44:O47" ca="1" si="52">IF(M44&gt;=30,L44, " ")</f>
        <v>1846150</v>
      </c>
      <c r="P44" s="19" t="str">
        <f t="shared" ref="P44:P47" ca="1" si="53">IF(M44&gt;60,"",(IF(M44&gt;30,O44, "")))</f>
        <v/>
      </c>
      <c r="Q44" s="19" t="str">
        <f t="shared" ref="Q44:Q47" ca="1" si="54">IF(M44&gt;90,"",(IF(M44&gt;60,O44, "")))</f>
        <v/>
      </c>
      <c r="R44" s="19">
        <f t="shared" ref="R44:R47" ca="1" si="55">IF(M44&gt;90,L44, " ")</f>
        <v>1846150</v>
      </c>
      <c r="S44" s="20"/>
    </row>
    <row r="45" spans="2:19" x14ac:dyDescent="0.2">
      <c r="B45" s="13" t="s">
        <v>171</v>
      </c>
      <c r="C45" s="40">
        <v>203291605</v>
      </c>
      <c r="D45" s="38">
        <v>973806866</v>
      </c>
      <c r="E45" s="14"/>
      <c r="F45" s="15" t="s">
        <v>45</v>
      </c>
      <c r="G45" s="15" t="s">
        <v>104</v>
      </c>
      <c r="H45" s="15" t="s">
        <v>520</v>
      </c>
      <c r="I45" s="15" t="s">
        <v>116</v>
      </c>
      <c r="J45" s="16">
        <v>44949</v>
      </c>
      <c r="K45" s="16">
        <f t="shared" si="50"/>
        <v>44979</v>
      </c>
      <c r="L45" s="17">
        <v>1520000</v>
      </c>
      <c r="M45" s="45">
        <f t="shared" ca="1" si="51"/>
        <v>123</v>
      </c>
      <c r="N45" s="18" t="str">
        <f t="shared" ref="N45:N52" ca="1" si="56">IF(M45=0," ",IF(M45&gt;=30,"Муддати тугаган"," "))</f>
        <v>Муддати тугаган</v>
      </c>
      <c r="O45" s="19">
        <f t="shared" ca="1" si="52"/>
        <v>1520000</v>
      </c>
      <c r="P45" s="19" t="str">
        <f t="shared" ca="1" si="53"/>
        <v/>
      </c>
      <c r="Q45" s="19" t="str">
        <f t="shared" ca="1" si="54"/>
        <v/>
      </c>
      <c r="R45" s="19">
        <f t="shared" ca="1" si="55"/>
        <v>1520000</v>
      </c>
      <c r="S45" s="20"/>
    </row>
    <row r="46" spans="2:19" x14ac:dyDescent="0.2">
      <c r="B46" s="13" t="s">
        <v>172</v>
      </c>
      <c r="C46" s="40">
        <v>306488607</v>
      </c>
      <c r="D46" s="14">
        <v>973003553</v>
      </c>
      <c r="E46" s="14"/>
      <c r="F46" s="15" t="s">
        <v>15</v>
      </c>
      <c r="G46" s="15" t="s">
        <v>15</v>
      </c>
      <c r="H46" s="15" t="s">
        <v>520</v>
      </c>
      <c r="I46" s="15" t="s">
        <v>40</v>
      </c>
      <c r="J46" s="16">
        <v>45041</v>
      </c>
      <c r="K46" s="16">
        <f t="shared" si="50"/>
        <v>45071</v>
      </c>
      <c r="L46" s="17">
        <v>897702</v>
      </c>
      <c r="M46" s="45">
        <f t="shared" ca="1" si="51"/>
        <v>31</v>
      </c>
      <c r="N46" s="18" t="str">
        <f t="shared" ca="1" si="56"/>
        <v>Муддати тугаган</v>
      </c>
      <c r="O46" s="19">
        <f t="shared" ca="1" si="52"/>
        <v>897702</v>
      </c>
      <c r="P46" s="19">
        <f t="shared" ca="1" si="53"/>
        <v>897702</v>
      </c>
      <c r="Q46" s="19" t="str">
        <f t="shared" ca="1" si="54"/>
        <v/>
      </c>
      <c r="R46" s="19" t="str">
        <f t="shared" ca="1" si="55"/>
        <v xml:space="preserve"> </v>
      </c>
      <c r="S46" s="20"/>
    </row>
    <row r="47" spans="2:19" x14ac:dyDescent="0.2">
      <c r="B47" s="13" t="s">
        <v>173</v>
      </c>
      <c r="C47" s="40">
        <v>207198004</v>
      </c>
      <c r="D47" s="14">
        <v>911157776</v>
      </c>
      <c r="E47" s="14"/>
      <c r="F47" s="15" t="s">
        <v>24</v>
      </c>
      <c r="G47" s="15" t="s">
        <v>174</v>
      </c>
      <c r="H47" s="15" t="s">
        <v>520</v>
      </c>
      <c r="I47" s="15" t="s">
        <v>152</v>
      </c>
      <c r="J47" s="16">
        <v>44956</v>
      </c>
      <c r="K47" s="16">
        <f t="shared" si="50"/>
        <v>44986</v>
      </c>
      <c r="L47" s="17">
        <v>358400</v>
      </c>
      <c r="M47" s="45">
        <f t="shared" ca="1" si="51"/>
        <v>116</v>
      </c>
      <c r="N47" s="18" t="str">
        <f t="shared" ca="1" si="56"/>
        <v>Муддати тугаган</v>
      </c>
      <c r="O47" s="19">
        <f t="shared" ca="1" si="52"/>
        <v>358400</v>
      </c>
      <c r="P47" s="19" t="str">
        <f t="shared" ca="1" si="53"/>
        <v/>
      </c>
      <c r="Q47" s="19" t="str">
        <f t="shared" ca="1" si="54"/>
        <v/>
      </c>
      <c r="R47" s="19">
        <f t="shared" ca="1" si="55"/>
        <v>358400</v>
      </c>
      <c r="S47" s="20"/>
    </row>
    <row r="48" spans="2:19" x14ac:dyDescent="0.2">
      <c r="B48" s="13" t="s">
        <v>514</v>
      </c>
      <c r="C48" s="40">
        <v>308937623</v>
      </c>
      <c r="D48" s="14"/>
      <c r="E48" s="14"/>
      <c r="F48" s="15" t="s">
        <v>526</v>
      </c>
      <c r="G48" s="15" t="s">
        <v>166</v>
      </c>
      <c r="H48" s="15" t="s">
        <v>508</v>
      </c>
      <c r="I48" s="15" t="s">
        <v>513</v>
      </c>
      <c r="J48" s="16">
        <v>45036</v>
      </c>
      <c r="K48" s="16">
        <f t="shared" ref="K48:K53" si="57">IF(J48&gt;0,J48+30," ")</f>
        <v>45066</v>
      </c>
      <c r="L48" s="17">
        <v>1327900</v>
      </c>
      <c r="M48" s="45">
        <f t="shared" ref="M48:M53" ca="1" si="58">IF(J48&gt;0,(+$B$1-J48),)</f>
        <v>36</v>
      </c>
      <c r="N48" s="18" t="str">
        <f t="shared" ca="1" si="56"/>
        <v>Муддати тугаган</v>
      </c>
      <c r="O48" s="19">
        <f t="shared" ref="O48:O53" ca="1" si="59">IF(M48&gt;=30,L48, " ")</f>
        <v>1327900</v>
      </c>
      <c r="P48" s="19">
        <f t="shared" ref="P48:P53" ca="1" si="60">IF(M48&gt;60,"",(IF(M48&gt;30,O48, "")))</f>
        <v>1327900</v>
      </c>
      <c r="Q48" s="19" t="str">
        <f t="shared" ref="Q48:Q53" ca="1" si="61">IF(M48&gt;90,"",(IF(M48&gt;60,O48, "")))</f>
        <v/>
      </c>
      <c r="R48" s="19" t="str">
        <f t="shared" ref="R48:R53" ca="1" si="62">IF(M48&gt;90,L48, " ")</f>
        <v xml:space="preserve"> </v>
      </c>
      <c r="S48" s="20"/>
    </row>
    <row r="49" spans="2:19" x14ac:dyDescent="0.2">
      <c r="B49" s="13" t="s">
        <v>514</v>
      </c>
      <c r="C49" s="40">
        <v>308937623</v>
      </c>
      <c r="D49" s="14">
        <v>905171818</v>
      </c>
      <c r="E49" s="14"/>
      <c r="F49" s="15" t="s">
        <v>13</v>
      </c>
      <c r="G49" s="15" t="s">
        <v>166</v>
      </c>
      <c r="H49" s="15" t="s">
        <v>520</v>
      </c>
      <c r="I49" s="15" t="s">
        <v>616</v>
      </c>
      <c r="J49" s="16">
        <v>44972</v>
      </c>
      <c r="K49" s="16">
        <f t="shared" si="57"/>
        <v>45002</v>
      </c>
      <c r="L49" s="17">
        <v>10570500</v>
      </c>
      <c r="M49" s="45">
        <f t="shared" ca="1" si="58"/>
        <v>100</v>
      </c>
      <c r="N49" s="18" t="str">
        <f t="shared" ca="1" si="56"/>
        <v>Муддати тугаган</v>
      </c>
      <c r="O49" s="19">
        <f t="shared" ca="1" si="59"/>
        <v>10570500</v>
      </c>
      <c r="P49" s="19" t="str">
        <f t="shared" ca="1" si="60"/>
        <v/>
      </c>
      <c r="Q49" s="19" t="str">
        <f t="shared" ca="1" si="61"/>
        <v/>
      </c>
      <c r="R49" s="19">
        <f t="shared" ca="1" si="62"/>
        <v>10570500</v>
      </c>
      <c r="S49" s="20"/>
    </row>
    <row r="50" spans="2:19" x14ac:dyDescent="0.2">
      <c r="B50" s="13" t="s">
        <v>514</v>
      </c>
      <c r="C50" s="40">
        <v>308937623</v>
      </c>
      <c r="D50" s="14"/>
      <c r="E50" s="14"/>
      <c r="F50" s="15" t="s">
        <v>526</v>
      </c>
      <c r="G50" s="15" t="s">
        <v>166</v>
      </c>
      <c r="H50" s="15" t="s">
        <v>508</v>
      </c>
      <c r="I50" s="15" t="s">
        <v>513</v>
      </c>
      <c r="J50" s="16">
        <v>44977</v>
      </c>
      <c r="K50" s="16">
        <f t="shared" si="57"/>
        <v>45007</v>
      </c>
      <c r="L50" s="17">
        <v>827900</v>
      </c>
      <c r="M50" s="45">
        <f t="shared" ca="1" si="58"/>
        <v>95</v>
      </c>
      <c r="N50" s="18" t="str">
        <f t="shared" ca="1" si="56"/>
        <v>Муддати тугаган</v>
      </c>
      <c r="O50" s="19">
        <f t="shared" ca="1" si="59"/>
        <v>827900</v>
      </c>
      <c r="P50" s="19" t="str">
        <f t="shared" ca="1" si="60"/>
        <v/>
      </c>
      <c r="Q50" s="19" t="str">
        <f t="shared" ca="1" si="61"/>
        <v/>
      </c>
      <c r="R50" s="19">
        <f t="shared" ca="1" si="62"/>
        <v>827900</v>
      </c>
      <c r="S50" s="20"/>
    </row>
    <row r="51" spans="2:19" x14ac:dyDescent="0.2">
      <c r="B51" s="13" t="s">
        <v>178</v>
      </c>
      <c r="C51" s="40">
        <v>204183002</v>
      </c>
      <c r="D51" s="14">
        <v>996079055</v>
      </c>
      <c r="E51" s="14"/>
      <c r="F51" s="15" t="s">
        <v>30</v>
      </c>
      <c r="G51" s="15" t="s">
        <v>162</v>
      </c>
      <c r="H51" s="15" t="s">
        <v>520</v>
      </c>
      <c r="I51" s="15" t="s">
        <v>34</v>
      </c>
      <c r="J51" s="16">
        <v>45035</v>
      </c>
      <c r="K51" s="16">
        <f t="shared" si="57"/>
        <v>45065</v>
      </c>
      <c r="L51" s="17">
        <v>11263000</v>
      </c>
      <c r="M51" s="45">
        <f t="shared" ca="1" si="58"/>
        <v>37</v>
      </c>
      <c r="N51" s="18" t="str">
        <f t="shared" ca="1" si="56"/>
        <v>Муддати тугаган</v>
      </c>
      <c r="O51" s="19">
        <f t="shared" ca="1" si="59"/>
        <v>11263000</v>
      </c>
      <c r="P51" s="19">
        <f t="shared" ca="1" si="60"/>
        <v>11263000</v>
      </c>
      <c r="Q51" s="19" t="str">
        <f t="shared" ca="1" si="61"/>
        <v/>
      </c>
      <c r="R51" s="19" t="str">
        <f t="shared" ca="1" si="62"/>
        <v xml:space="preserve"> </v>
      </c>
      <c r="S51" s="20"/>
    </row>
    <row r="52" spans="2:19" x14ac:dyDescent="0.2">
      <c r="B52" s="13" t="s">
        <v>178</v>
      </c>
      <c r="C52" s="40">
        <v>204183002</v>
      </c>
      <c r="D52" s="14">
        <v>996079055</v>
      </c>
      <c r="E52" s="14"/>
      <c r="F52" s="15" t="s">
        <v>30</v>
      </c>
      <c r="G52" s="15" t="s">
        <v>162</v>
      </c>
      <c r="H52" s="15" t="s">
        <v>520</v>
      </c>
      <c r="I52" s="15" t="s">
        <v>34</v>
      </c>
      <c r="J52" s="16">
        <v>45027</v>
      </c>
      <c r="K52" s="16">
        <f t="shared" si="57"/>
        <v>45057</v>
      </c>
      <c r="L52" s="17">
        <v>5915250</v>
      </c>
      <c r="M52" s="45">
        <f t="shared" ca="1" si="58"/>
        <v>45</v>
      </c>
      <c r="N52" s="18" t="str">
        <f t="shared" ca="1" si="56"/>
        <v>Муддати тугаган</v>
      </c>
      <c r="O52" s="19">
        <f t="shared" ca="1" si="59"/>
        <v>5915250</v>
      </c>
      <c r="P52" s="19">
        <f t="shared" ca="1" si="60"/>
        <v>5915250</v>
      </c>
      <c r="Q52" s="19" t="str">
        <f t="shared" ca="1" si="61"/>
        <v/>
      </c>
      <c r="R52" s="19" t="str">
        <f t="shared" ca="1" si="62"/>
        <v xml:space="preserve"> </v>
      </c>
      <c r="S52" s="20"/>
    </row>
    <row r="53" spans="2:19" x14ac:dyDescent="0.2">
      <c r="B53" s="13" t="s">
        <v>179</v>
      </c>
      <c r="C53" s="40">
        <v>307091659</v>
      </c>
      <c r="D53" s="14">
        <v>953037575</v>
      </c>
      <c r="E53" s="14"/>
      <c r="F53" s="15" t="s">
        <v>55</v>
      </c>
      <c r="G53" s="15" t="s">
        <v>55</v>
      </c>
      <c r="H53" s="15" t="s">
        <v>520</v>
      </c>
      <c r="I53" s="15" t="s">
        <v>61</v>
      </c>
      <c r="J53" s="16">
        <v>44781</v>
      </c>
      <c r="K53" s="16">
        <f t="shared" si="57"/>
        <v>44811</v>
      </c>
      <c r="L53" s="17">
        <v>1770000</v>
      </c>
      <c r="M53" s="45">
        <f t="shared" ca="1" si="58"/>
        <v>291</v>
      </c>
      <c r="N53" s="18" t="str">
        <f t="shared" ref="N53:N57" ca="1" si="63">IF(M53=0," ",IF(M53&gt;=30,"Муддати тугаган"," "))</f>
        <v>Муддати тугаган</v>
      </c>
      <c r="O53" s="19">
        <f t="shared" ca="1" si="59"/>
        <v>1770000</v>
      </c>
      <c r="P53" s="19" t="str">
        <f t="shared" ca="1" si="60"/>
        <v/>
      </c>
      <c r="Q53" s="19" t="str">
        <f t="shared" ca="1" si="61"/>
        <v/>
      </c>
      <c r="R53" s="19">
        <f t="shared" ca="1" si="62"/>
        <v>1770000</v>
      </c>
      <c r="S53" s="20"/>
    </row>
    <row r="54" spans="2:19" x14ac:dyDescent="0.2">
      <c r="B54" s="13" t="s">
        <v>538</v>
      </c>
      <c r="C54" s="40">
        <v>309553516</v>
      </c>
      <c r="D54" s="14">
        <v>909213590</v>
      </c>
      <c r="E54" s="14"/>
      <c r="F54" s="15" t="s">
        <v>13</v>
      </c>
      <c r="G54" s="15" t="s">
        <v>133</v>
      </c>
      <c r="H54" s="15" t="s">
        <v>520</v>
      </c>
      <c r="I54" s="15" t="s">
        <v>557</v>
      </c>
      <c r="J54" s="16">
        <v>45036</v>
      </c>
      <c r="K54" s="16">
        <f t="shared" ref="K54:K61" si="64">IF(J54&gt;0,J54+30," ")</f>
        <v>45066</v>
      </c>
      <c r="L54" s="17">
        <v>5491250</v>
      </c>
      <c r="M54" s="45">
        <f t="shared" ref="M54:M61" ca="1" si="65">IF(J54&gt;0,(+$B$1-J54),)</f>
        <v>36</v>
      </c>
      <c r="N54" s="18" t="str">
        <f t="shared" ca="1" si="63"/>
        <v>Муддати тугаган</v>
      </c>
      <c r="O54" s="19">
        <f t="shared" ref="O54:O61" ca="1" si="66">IF(M54&gt;=30,L54, " ")</f>
        <v>5491250</v>
      </c>
      <c r="P54" s="19">
        <f t="shared" ref="P54:P61" ca="1" si="67">IF(M54&gt;60,"",(IF(M54&gt;30,O54, "")))</f>
        <v>5491250</v>
      </c>
      <c r="Q54" s="19" t="str">
        <f t="shared" ref="Q54:Q61" ca="1" si="68">IF(M54&gt;90,"",(IF(M54&gt;60,O54, "")))</f>
        <v/>
      </c>
      <c r="R54" s="19" t="str">
        <f t="shared" ref="R54:R61" ca="1" si="69">IF(M54&gt;90,L54, " ")</f>
        <v xml:space="preserve"> </v>
      </c>
      <c r="S54" s="20"/>
    </row>
    <row r="55" spans="2:19" x14ac:dyDescent="0.2">
      <c r="B55" s="13" t="s">
        <v>180</v>
      </c>
      <c r="C55" s="40">
        <v>203024982</v>
      </c>
      <c r="D55" s="14"/>
      <c r="E55" s="14"/>
      <c r="F55" s="15" t="s">
        <v>45</v>
      </c>
      <c r="G55" s="15" t="s">
        <v>181</v>
      </c>
      <c r="H55" s="15" t="s">
        <v>520</v>
      </c>
      <c r="I55" s="15" t="s">
        <v>116</v>
      </c>
      <c r="J55" s="16">
        <v>44704</v>
      </c>
      <c r="K55" s="16">
        <f t="shared" si="64"/>
        <v>44734</v>
      </c>
      <c r="L55" s="17">
        <v>30000</v>
      </c>
      <c r="M55" s="45">
        <f t="shared" ca="1" si="65"/>
        <v>368</v>
      </c>
      <c r="N55" s="18" t="str">
        <f t="shared" ca="1" si="63"/>
        <v>Муддати тугаган</v>
      </c>
      <c r="O55" s="19">
        <f t="shared" ca="1" si="66"/>
        <v>30000</v>
      </c>
      <c r="P55" s="19" t="str">
        <f t="shared" ca="1" si="67"/>
        <v/>
      </c>
      <c r="Q55" s="19" t="str">
        <f t="shared" ca="1" si="68"/>
        <v/>
      </c>
      <c r="R55" s="19">
        <f t="shared" ca="1" si="69"/>
        <v>30000</v>
      </c>
      <c r="S55" s="20"/>
    </row>
    <row r="56" spans="2:19" x14ac:dyDescent="0.2">
      <c r="B56" s="13" t="s">
        <v>183</v>
      </c>
      <c r="C56" s="40">
        <v>309526191</v>
      </c>
      <c r="D56" s="14">
        <v>973157700</v>
      </c>
      <c r="E56" s="14"/>
      <c r="F56" s="15" t="s">
        <v>45</v>
      </c>
      <c r="G56" s="15" t="s">
        <v>115</v>
      </c>
      <c r="H56" s="15" t="s">
        <v>520</v>
      </c>
      <c r="I56" s="15" t="s">
        <v>116</v>
      </c>
      <c r="J56" s="16">
        <v>44977</v>
      </c>
      <c r="K56" s="16">
        <f t="shared" si="64"/>
        <v>45007</v>
      </c>
      <c r="L56" s="21">
        <v>1123600</v>
      </c>
      <c r="M56" s="45">
        <f t="shared" ca="1" si="65"/>
        <v>95</v>
      </c>
      <c r="N56" s="18" t="str">
        <f t="shared" ca="1" si="63"/>
        <v>Муддати тугаган</v>
      </c>
      <c r="O56" s="19">
        <f t="shared" ca="1" si="66"/>
        <v>1123600</v>
      </c>
      <c r="P56" s="19" t="str">
        <f t="shared" ca="1" si="67"/>
        <v/>
      </c>
      <c r="Q56" s="19" t="str">
        <f t="shared" ca="1" si="68"/>
        <v/>
      </c>
      <c r="R56" s="19">
        <f t="shared" ca="1" si="69"/>
        <v>1123600</v>
      </c>
      <c r="S56" s="20"/>
    </row>
    <row r="57" spans="2:19" x14ac:dyDescent="0.2">
      <c r="B57" s="13" t="s">
        <v>183</v>
      </c>
      <c r="C57" s="40">
        <v>309526191</v>
      </c>
      <c r="D57" s="14">
        <v>973157700</v>
      </c>
      <c r="E57" s="14"/>
      <c r="F57" s="15" t="s">
        <v>45</v>
      </c>
      <c r="G57" s="15" t="s">
        <v>115</v>
      </c>
      <c r="H57" s="15" t="s">
        <v>520</v>
      </c>
      <c r="I57" s="15" t="s">
        <v>116</v>
      </c>
      <c r="J57" s="16">
        <v>44999</v>
      </c>
      <c r="K57" s="16">
        <f t="shared" si="64"/>
        <v>45029</v>
      </c>
      <c r="L57" s="21">
        <v>2078000</v>
      </c>
      <c r="M57" s="45">
        <f t="shared" ca="1" si="65"/>
        <v>73</v>
      </c>
      <c r="N57" s="18" t="str">
        <f t="shared" ca="1" si="63"/>
        <v>Муддати тугаган</v>
      </c>
      <c r="O57" s="19">
        <f t="shared" ca="1" si="66"/>
        <v>2078000</v>
      </c>
      <c r="P57" s="19" t="str">
        <f t="shared" ca="1" si="67"/>
        <v/>
      </c>
      <c r="Q57" s="19">
        <f t="shared" ca="1" si="68"/>
        <v>2078000</v>
      </c>
      <c r="R57" s="19" t="str">
        <f t="shared" ca="1" si="69"/>
        <v xml:space="preserve"> </v>
      </c>
      <c r="S57" s="20"/>
    </row>
    <row r="58" spans="2:19" x14ac:dyDescent="0.2">
      <c r="B58" s="13" t="s">
        <v>184</v>
      </c>
      <c r="C58" s="40">
        <v>308010203</v>
      </c>
      <c r="D58" s="14">
        <v>999619009</v>
      </c>
      <c r="E58" s="14"/>
      <c r="F58" s="15" t="s">
        <v>64</v>
      </c>
      <c r="G58" s="15" t="s">
        <v>185</v>
      </c>
      <c r="H58" s="15" t="s">
        <v>520</v>
      </c>
      <c r="I58" s="15" t="s">
        <v>175</v>
      </c>
      <c r="J58" s="16">
        <v>44872</v>
      </c>
      <c r="K58" s="16">
        <f t="shared" si="64"/>
        <v>44902</v>
      </c>
      <c r="L58" s="17">
        <v>1697437</v>
      </c>
      <c r="M58" s="45">
        <f t="shared" ca="1" si="65"/>
        <v>200</v>
      </c>
      <c r="N58" s="18" t="str">
        <f t="shared" ref="N58:N63" ca="1" si="70">IF(M58=0," ",IF(M58&gt;=30,"Муддати тугаган"," "))</f>
        <v>Муддати тугаган</v>
      </c>
      <c r="O58" s="19">
        <f t="shared" ca="1" si="66"/>
        <v>1697437</v>
      </c>
      <c r="P58" s="19" t="str">
        <f t="shared" ca="1" si="67"/>
        <v/>
      </c>
      <c r="Q58" s="19" t="str">
        <f t="shared" ca="1" si="68"/>
        <v/>
      </c>
      <c r="R58" s="19">
        <f t="shared" ca="1" si="69"/>
        <v>1697437</v>
      </c>
      <c r="S58" s="20"/>
    </row>
    <row r="59" spans="2:19" x14ac:dyDescent="0.2">
      <c r="B59" s="13" t="s">
        <v>186</v>
      </c>
      <c r="C59" s="40">
        <v>303391865</v>
      </c>
      <c r="D59" s="14">
        <v>942351976</v>
      </c>
      <c r="E59" s="14"/>
      <c r="F59" s="15" t="s">
        <v>17</v>
      </c>
      <c r="G59" s="15" t="s">
        <v>102</v>
      </c>
      <c r="H59" s="15" t="s">
        <v>520</v>
      </c>
      <c r="I59" s="15" t="s">
        <v>187</v>
      </c>
      <c r="J59" s="16">
        <v>44945</v>
      </c>
      <c r="K59" s="16">
        <f t="shared" si="64"/>
        <v>44975</v>
      </c>
      <c r="L59" s="21">
        <v>15591340</v>
      </c>
      <c r="M59" s="45">
        <f t="shared" ca="1" si="65"/>
        <v>127</v>
      </c>
      <c r="N59" s="18" t="str">
        <f t="shared" ca="1" si="70"/>
        <v>Муддати тугаган</v>
      </c>
      <c r="O59" s="19">
        <f t="shared" ca="1" si="66"/>
        <v>15591340</v>
      </c>
      <c r="P59" s="19" t="str">
        <f t="shared" ca="1" si="67"/>
        <v/>
      </c>
      <c r="Q59" s="19" t="str">
        <f t="shared" ca="1" si="68"/>
        <v/>
      </c>
      <c r="R59" s="19">
        <f t="shared" ca="1" si="69"/>
        <v>15591340</v>
      </c>
      <c r="S59" s="20"/>
    </row>
    <row r="60" spans="2:19" x14ac:dyDescent="0.2">
      <c r="B60" s="13" t="s">
        <v>189</v>
      </c>
      <c r="C60" s="40">
        <v>200173397</v>
      </c>
      <c r="D60" s="14">
        <v>903312244</v>
      </c>
      <c r="E60" s="14"/>
      <c r="F60" s="15" t="s">
        <v>24</v>
      </c>
      <c r="G60" s="15" t="s">
        <v>103</v>
      </c>
      <c r="H60" s="15" t="s">
        <v>520</v>
      </c>
      <c r="I60" s="15" t="s">
        <v>245</v>
      </c>
      <c r="J60" s="16">
        <v>44916</v>
      </c>
      <c r="K60" s="16">
        <f t="shared" si="64"/>
        <v>44946</v>
      </c>
      <c r="L60" s="17">
        <v>1296600</v>
      </c>
      <c r="M60" s="45">
        <f t="shared" ca="1" si="65"/>
        <v>156</v>
      </c>
      <c r="N60" s="18" t="str">
        <f t="shared" ca="1" si="70"/>
        <v>Муддати тугаган</v>
      </c>
      <c r="O60" s="19">
        <f t="shared" ca="1" si="66"/>
        <v>1296600</v>
      </c>
      <c r="P60" s="19" t="str">
        <f t="shared" ca="1" si="67"/>
        <v/>
      </c>
      <c r="Q60" s="19" t="str">
        <f t="shared" ca="1" si="68"/>
        <v/>
      </c>
      <c r="R60" s="19">
        <f t="shared" ca="1" si="69"/>
        <v>1296600</v>
      </c>
      <c r="S60" s="20"/>
    </row>
    <row r="61" spans="2:19" x14ac:dyDescent="0.2">
      <c r="B61" s="13" t="s">
        <v>189</v>
      </c>
      <c r="C61" s="40">
        <v>200173397</v>
      </c>
      <c r="D61" s="14">
        <v>903312244</v>
      </c>
      <c r="E61" s="14"/>
      <c r="F61" s="15" t="s">
        <v>24</v>
      </c>
      <c r="G61" s="15" t="s">
        <v>103</v>
      </c>
      <c r="H61" s="15" t="s">
        <v>520</v>
      </c>
      <c r="I61" s="15" t="s">
        <v>245</v>
      </c>
      <c r="J61" s="16">
        <v>44950</v>
      </c>
      <c r="K61" s="16">
        <f t="shared" si="64"/>
        <v>44980</v>
      </c>
      <c r="L61" s="17">
        <v>1052800</v>
      </c>
      <c r="M61" s="45">
        <f t="shared" ca="1" si="65"/>
        <v>122</v>
      </c>
      <c r="N61" s="18" t="str">
        <f t="shared" ca="1" si="70"/>
        <v>Муддати тугаган</v>
      </c>
      <c r="O61" s="19">
        <f t="shared" ca="1" si="66"/>
        <v>1052800</v>
      </c>
      <c r="P61" s="19" t="str">
        <f t="shared" ca="1" si="67"/>
        <v/>
      </c>
      <c r="Q61" s="19" t="str">
        <f t="shared" ca="1" si="68"/>
        <v/>
      </c>
      <c r="R61" s="19">
        <f t="shared" ca="1" si="69"/>
        <v>1052800</v>
      </c>
      <c r="S61" s="20"/>
    </row>
    <row r="62" spans="2:19" x14ac:dyDescent="0.2">
      <c r="B62" s="13" t="s">
        <v>192</v>
      </c>
      <c r="C62" s="40">
        <v>309836154</v>
      </c>
      <c r="D62" s="14">
        <v>996956090</v>
      </c>
      <c r="E62" s="14"/>
      <c r="F62" s="15" t="s">
        <v>75</v>
      </c>
      <c r="G62" s="15" t="s">
        <v>144</v>
      </c>
      <c r="H62" s="15" t="s">
        <v>520</v>
      </c>
      <c r="I62" s="15" t="s">
        <v>76</v>
      </c>
      <c r="J62" s="16">
        <v>45029</v>
      </c>
      <c r="K62" s="16">
        <f t="shared" ref="K62:K68" si="71">IF(J62&gt;0,J62+30," ")</f>
        <v>45059</v>
      </c>
      <c r="L62" s="17">
        <v>1880000</v>
      </c>
      <c r="M62" s="45">
        <f t="shared" ref="M62:M68" ca="1" si="72">IF(J62&gt;0,(+$B$1-J62),)</f>
        <v>43</v>
      </c>
      <c r="N62" s="18" t="str">
        <f t="shared" ca="1" si="70"/>
        <v>Муддати тугаган</v>
      </c>
      <c r="O62" s="19">
        <f t="shared" ref="O62:O68" ca="1" si="73">IF(M62&gt;=30,L62, " ")</f>
        <v>1880000</v>
      </c>
      <c r="P62" s="19">
        <f t="shared" ref="P62:P68" ca="1" si="74">IF(M62&gt;60,"",(IF(M62&gt;30,O62, "")))</f>
        <v>1880000</v>
      </c>
      <c r="Q62" s="19" t="str">
        <f t="shared" ref="Q62:Q68" ca="1" si="75">IF(M62&gt;90,"",(IF(M62&gt;60,O62, "")))</f>
        <v/>
      </c>
      <c r="R62" s="19" t="str">
        <f t="shared" ref="R62:R68" ca="1" si="76">IF(M62&gt;90,L62, " ")</f>
        <v xml:space="preserve"> </v>
      </c>
      <c r="S62" s="20"/>
    </row>
    <row r="63" spans="2:19" x14ac:dyDescent="0.2">
      <c r="B63" s="13" t="s">
        <v>570</v>
      </c>
      <c r="C63" s="40">
        <v>305863544</v>
      </c>
      <c r="D63" s="14">
        <v>901378919</v>
      </c>
      <c r="E63" s="38"/>
      <c r="F63" s="15" t="s">
        <v>13</v>
      </c>
      <c r="G63" s="15" t="s">
        <v>199</v>
      </c>
      <c r="H63" s="15" t="s">
        <v>520</v>
      </c>
      <c r="I63" s="15" t="s">
        <v>134</v>
      </c>
      <c r="J63" s="16">
        <v>45042</v>
      </c>
      <c r="K63" s="16">
        <f t="shared" si="71"/>
        <v>45072</v>
      </c>
      <c r="L63" s="17">
        <v>3780000</v>
      </c>
      <c r="M63" s="45">
        <f t="shared" ca="1" si="72"/>
        <v>30</v>
      </c>
      <c r="N63" s="18" t="str">
        <f t="shared" ca="1" si="70"/>
        <v>Муддати тугаган</v>
      </c>
      <c r="O63" s="19">
        <f t="shared" ca="1" si="73"/>
        <v>3780000</v>
      </c>
      <c r="P63" s="19" t="str">
        <f t="shared" ca="1" si="74"/>
        <v/>
      </c>
      <c r="Q63" s="19" t="str">
        <f t="shared" ca="1" si="75"/>
        <v/>
      </c>
      <c r="R63" s="19" t="str">
        <f t="shared" ca="1" si="76"/>
        <v xml:space="preserve"> </v>
      </c>
      <c r="S63" s="20"/>
    </row>
    <row r="64" spans="2:19" x14ac:dyDescent="0.2">
      <c r="B64" s="13" t="s">
        <v>193</v>
      </c>
      <c r="C64" s="40">
        <v>309810385</v>
      </c>
      <c r="D64" s="14">
        <v>902466601</v>
      </c>
      <c r="E64" s="14"/>
      <c r="F64" s="15" t="s">
        <v>75</v>
      </c>
      <c r="G64" s="15" t="s">
        <v>144</v>
      </c>
      <c r="H64" s="15" t="s">
        <v>520</v>
      </c>
      <c r="I64" s="15" t="s">
        <v>76</v>
      </c>
      <c r="J64" s="16">
        <v>44932</v>
      </c>
      <c r="K64" s="16">
        <f t="shared" si="71"/>
        <v>44962</v>
      </c>
      <c r="L64" s="21">
        <v>3973250</v>
      </c>
      <c r="M64" s="45">
        <f t="shared" ca="1" si="72"/>
        <v>140</v>
      </c>
      <c r="N64" s="18" t="str">
        <f t="shared" ref="N64:N71" ca="1" si="77">IF(M64=0," ",IF(M64&gt;=30,"Муддати тугаган"," "))</f>
        <v>Муддати тугаган</v>
      </c>
      <c r="O64" s="19">
        <f t="shared" ca="1" si="73"/>
        <v>3973250</v>
      </c>
      <c r="P64" s="19" t="str">
        <f t="shared" ca="1" si="74"/>
        <v/>
      </c>
      <c r="Q64" s="19" t="str">
        <f t="shared" ca="1" si="75"/>
        <v/>
      </c>
      <c r="R64" s="19">
        <f t="shared" ca="1" si="76"/>
        <v>3973250</v>
      </c>
      <c r="S64" s="20"/>
    </row>
    <row r="65" spans="2:19" x14ac:dyDescent="0.2">
      <c r="B65" s="24" t="s">
        <v>194</v>
      </c>
      <c r="C65" s="43">
        <v>205281924</v>
      </c>
      <c r="D65" s="25">
        <v>994673544</v>
      </c>
      <c r="E65" s="14"/>
      <c r="F65" s="26" t="s">
        <v>30</v>
      </c>
      <c r="G65" s="26" t="s">
        <v>195</v>
      </c>
      <c r="H65" s="26" t="s">
        <v>520</v>
      </c>
      <c r="I65" s="26" t="s">
        <v>35</v>
      </c>
      <c r="J65" s="27">
        <v>44565</v>
      </c>
      <c r="K65" s="27">
        <f t="shared" si="71"/>
        <v>44595</v>
      </c>
      <c r="L65" s="28">
        <v>1497500</v>
      </c>
      <c r="M65" s="46">
        <f t="shared" ca="1" si="72"/>
        <v>507</v>
      </c>
      <c r="N65" s="57" t="str">
        <f t="shared" ca="1" si="77"/>
        <v>Муддати тугаган</v>
      </c>
      <c r="O65" s="29">
        <f t="shared" ca="1" si="73"/>
        <v>1497500</v>
      </c>
      <c r="P65" s="29" t="str">
        <f t="shared" ca="1" si="74"/>
        <v/>
      </c>
      <c r="Q65" s="29" t="str">
        <f t="shared" ca="1" si="75"/>
        <v/>
      </c>
      <c r="R65" s="29">
        <f t="shared" ca="1" si="76"/>
        <v>1497500</v>
      </c>
      <c r="S65" s="20"/>
    </row>
    <row r="66" spans="2:19" x14ac:dyDescent="0.2">
      <c r="B66" s="13" t="s">
        <v>460</v>
      </c>
      <c r="C66" s="40">
        <v>309717895</v>
      </c>
      <c r="D66" s="14">
        <v>999451523</v>
      </c>
      <c r="E66" s="14"/>
      <c r="F66" s="15" t="s">
        <v>64</v>
      </c>
      <c r="G66" s="15" t="s">
        <v>379</v>
      </c>
      <c r="H66" s="15" t="s">
        <v>520</v>
      </c>
      <c r="I66" s="15" t="s">
        <v>39</v>
      </c>
      <c r="J66" s="16">
        <v>45042</v>
      </c>
      <c r="K66" s="16">
        <f t="shared" si="71"/>
        <v>45072</v>
      </c>
      <c r="L66" s="21">
        <v>1185850</v>
      </c>
      <c r="M66" s="45">
        <f t="shared" ca="1" si="72"/>
        <v>30</v>
      </c>
      <c r="N66" s="18" t="str">
        <f t="shared" ca="1" si="77"/>
        <v>Муддати тугаган</v>
      </c>
      <c r="O66" s="19">
        <f t="shared" ca="1" si="73"/>
        <v>1185850</v>
      </c>
      <c r="P66" s="19" t="str">
        <f t="shared" ca="1" si="74"/>
        <v/>
      </c>
      <c r="Q66" s="19" t="str">
        <f t="shared" ca="1" si="75"/>
        <v/>
      </c>
      <c r="R66" s="19" t="str">
        <f t="shared" ca="1" si="76"/>
        <v xml:space="preserve"> </v>
      </c>
      <c r="S66" s="20"/>
    </row>
    <row r="67" spans="2:19" x14ac:dyDescent="0.2">
      <c r="B67" s="13" t="s">
        <v>197</v>
      </c>
      <c r="C67" s="40">
        <v>306621734</v>
      </c>
      <c r="D67" s="14">
        <v>912154251</v>
      </c>
      <c r="E67" s="14"/>
      <c r="F67" s="15" t="s">
        <v>45</v>
      </c>
      <c r="G67" s="15" t="s">
        <v>196</v>
      </c>
      <c r="H67" s="15" t="s">
        <v>520</v>
      </c>
      <c r="I67" s="15" t="s">
        <v>116</v>
      </c>
      <c r="J67" s="16">
        <v>44922</v>
      </c>
      <c r="K67" s="16">
        <f t="shared" si="71"/>
        <v>44952</v>
      </c>
      <c r="L67" s="21">
        <v>2369100</v>
      </c>
      <c r="M67" s="45">
        <f t="shared" ca="1" si="72"/>
        <v>150</v>
      </c>
      <c r="N67" s="18" t="str">
        <f t="shared" ca="1" si="77"/>
        <v>Муддати тугаган</v>
      </c>
      <c r="O67" s="19">
        <f t="shared" ca="1" si="73"/>
        <v>2369100</v>
      </c>
      <c r="P67" s="19" t="str">
        <f t="shared" ca="1" si="74"/>
        <v/>
      </c>
      <c r="Q67" s="19" t="str">
        <f t="shared" ca="1" si="75"/>
        <v/>
      </c>
      <c r="R67" s="19">
        <f t="shared" ca="1" si="76"/>
        <v>2369100</v>
      </c>
      <c r="S67" s="20"/>
    </row>
    <row r="68" spans="2:19" x14ac:dyDescent="0.2">
      <c r="B68" s="13" t="s">
        <v>198</v>
      </c>
      <c r="C68" s="40">
        <v>303927773</v>
      </c>
      <c r="D68" s="14"/>
      <c r="E68" s="38">
        <v>909518000</v>
      </c>
      <c r="F68" s="15" t="s">
        <v>526</v>
      </c>
      <c r="G68" s="15" t="s">
        <v>199</v>
      </c>
      <c r="H68" s="15" t="s">
        <v>508</v>
      </c>
      <c r="I68" s="15" t="s">
        <v>513</v>
      </c>
      <c r="J68" s="16">
        <v>44991</v>
      </c>
      <c r="K68" s="16">
        <f t="shared" si="71"/>
        <v>45021</v>
      </c>
      <c r="L68" s="17">
        <v>1637500</v>
      </c>
      <c r="M68" s="45">
        <f t="shared" ca="1" si="72"/>
        <v>81</v>
      </c>
      <c r="N68" s="18" t="str">
        <f t="shared" ca="1" si="77"/>
        <v>Муддати тугаган</v>
      </c>
      <c r="O68" s="19">
        <f t="shared" ca="1" si="73"/>
        <v>1637500</v>
      </c>
      <c r="P68" s="19" t="str">
        <f t="shared" ca="1" si="74"/>
        <v/>
      </c>
      <c r="Q68" s="19">
        <f t="shared" ca="1" si="75"/>
        <v>1637500</v>
      </c>
      <c r="R68" s="19" t="str">
        <f t="shared" ca="1" si="76"/>
        <v xml:space="preserve"> </v>
      </c>
      <c r="S68" s="20"/>
    </row>
    <row r="69" spans="2:19" x14ac:dyDescent="0.2">
      <c r="B69" s="13" t="s">
        <v>200</v>
      </c>
      <c r="C69" s="40">
        <v>308064895</v>
      </c>
      <c r="D69" s="14">
        <v>999004322</v>
      </c>
      <c r="E69" s="14"/>
      <c r="F69" s="15" t="s">
        <v>30</v>
      </c>
      <c r="G69" s="15" t="s">
        <v>162</v>
      </c>
      <c r="H69" s="15" t="s">
        <v>520</v>
      </c>
      <c r="I69" s="15" t="s">
        <v>34</v>
      </c>
      <c r="J69" s="16">
        <v>44963</v>
      </c>
      <c r="K69" s="16">
        <f t="shared" ref="K69:K73" si="78">IF(J69&gt;0,J69+30," ")</f>
        <v>44993</v>
      </c>
      <c r="L69" s="17">
        <v>3563500</v>
      </c>
      <c r="M69" s="45">
        <f t="shared" ref="M69:M73" ca="1" si="79">IF(J69&gt;0,(+$B$1-J69),)</f>
        <v>109</v>
      </c>
      <c r="N69" s="18" t="str">
        <f t="shared" ca="1" si="77"/>
        <v>Муддати тугаган</v>
      </c>
      <c r="O69" s="19">
        <f t="shared" ref="O69:O73" ca="1" si="80">IF(M69&gt;=30,L69, " ")</f>
        <v>3563500</v>
      </c>
      <c r="P69" s="19" t="str">
        <f t="shared" ref="P69:P73" ca="1" si="81">IF(M69&gt;60,"",(IF(M69&gt;30,O69, "")))</f>
        <v/>
      </c>
      <c r="Q69" s="19" t="str">
        <f t="shared" ref="Q69:Q73" ca="1" si="82">IF(M69&gt;90,"",(IF(M69&gt;60,O69, "")))</f>
        <v/>
      </c>
      <c r="R69" s="19">
        <f t="shared" ref="R69:R73" ca="1" si="83">IF(M69&gt;90,L69, " ")</f>
        <v>3563500</v>
      </c>
      <c r="S69" s="20"/>
    </row>
    <row r="70" spans="2:19" x14ac:dyDescent="0.2">
      <c r="B70" s="13" t="s">
        <v>201</v>
      </c>
      <c r="C70" s="40">
        <v>300388774</v>
      </c>
      <c r="D70" s="14">
        <v>972424327</v>
      </c>
      <c r="E70" s="14"/>
      <c r="F70" s="15" t="s">
        <v>21</v>
      </c>
      <c r="G70" s="15" t="s">
        <v>22</v>
      </c>
      <c r="H70" s="15" t="s">
        <v>520</v>
      </c>
      <c r="I70" s="15" t="s">
        <v>23</v>
      </c>
      <c r="J70" s="16">
        <v>44860</v>
      </c>
      <c r="K70" s="16">
        <f t="shared" si="78"/>
        <v>44890</v>
      </c>
      <c r="L70" s="17">
        <v>4342250</v>
      </c>
      <c r="M70" s="45">
        <f t="shared" ca="1" si="79"/>
        <v>212</v>
      </c>
      <c r="N70" s="18" t="str">
        <f t="shared" ca="1" si="77"/>
        <v>Муддати тугаган</v>
      </c>
      <c r="O70" s="19">
        <f t="shared" ca="1" si="80"/>
        <v>4342250</v>
      </c>
      <c r="P70" s="19" t="str">
        <f t="shared" ca="1" si="81"/>
        <v/>
      </c>
      <c r="Q70" s="19" t="str">
        <f t="shared" ca="1" si="82"/>
        <v/>
      </c>
      <c r="R70" s="19">
        <f t="shared" ca="1" si="83"/>
        <v>4342250</v>
      </c>
      <c r="S70" s="20"/>
    </row>
    <row r="71" spans="2:19" x14ac:dyDescent="0.2">
      <c r="B71" s="13" t="s">
        <v>202</v>
      </c>
      <c r="C71" s="40">
        <v>306664198</v>
      </c>
      <c r="D71" s="14">
        <v>977556637</v>
      </c>
      <c r="E71" s="14"/>
      <c r="F71" s="15" t="s">
        <v>13</v>
      </c>
      <c r="G71" s="15" t="s">
        <v>133</v>
      </c>
      <c r="H71" s="15" t="s">
        <v>520</v>
      </c>
      <c r="I71" s="15" t="s">
        <v>134</v>
      </c>
      <c r="J71" s="16">
        <v>44972</v>
      </c>
      <c r="K71" s="16">
        <f t="shared" si="78"/>
        <v>45002</v>
      </c>
      <c r="L71" s="17">
        <v>2574591</v>
      </c>
      <c r="M71" s="45">
        <f t="shared" ca="1" si="79"/>
        <v>100</v>
      </c>
      <c r="N71" s="18" t="str">
        <f t="shared" ca="1" si="77"/>
        <v>Муддати тугаган</v>
      </c>
      <c r="O71" s="19">
        <f t="shared" ca="1" si="80"/>
        <v>2574591</v>
      </c>
      <c r="P71" s="19" t="str">
        <f t="shared" ca="1" si="81"/>
        <v/>
      </c>
      <c r="Q71" s="19" t="str">
        <f t="shared" ca="1" si="82"/>
        <v/>
      </c>
      <c r="R71" s="19">
        <f t="shared" ca="1" si="83"/>
        <v>2574591</v>
      </c>
      <c r="S71" s="20"/>
    </row>
    <row r="72" spans="2:19" x14ac:dyDescent="0.2">
      <c r="B72" s="13" t="s">
        <v>206</v>
      </c>
      <c r="C72" s="40">
        <v>200880508</v>
      </c>
      <c r="D72" s="14">
        <v>945447774</v>
      </c>
      <c r="E72" s="14"/>
      <c r="F72" s="15" t="s">
        <v>522</v>
      </c>
      <c r="G72" s="15" t="s">
        <v>140</v>
      </c>
      <c r="H72" s="15" t="s">
        <v>508</v>
      </c>
      <c r="I72" s="15" t="s">
        <v>516</v>
      </c>
      <c r="J72" s="16">
        <v>45026</v>
      </c>
      <c r="K72" s="16">
        <f t="shared" si="78"/>
        <v>45056</v>
      </c>
      <c r="L72" s="17">
        <v>3076000</v>
      </c>
      <c r="M72" s="45">
        <f t="shared" ca="1" si="79"/>
        <v>46</v>
      </c>
      <c r="N72" s="18" t="str">
        <f t="shared" ref="N72:N75" ca="1" si="84">IF(M72=0," ",IF(M72&gt;=30,"Муддати тугаган"," "))</f>
        <v>Муддати тугаган</v>
      </c>
      <c r="O72" s="19">
        <f t="shared" ca="1" si="80"/>
        <v>3076000</v>
      </c>
      <c r="P72" s="19">
        <f t="shared" ca="1" si="81"/>
        <v>3076000</v>
      </c>
      <c r="Q72" s="19" t="str">
        <f t="shared" ca="1" si="82"/>
        <v/>
      </c>
      <c r="R72" s="19" t="str">
        <f t="shared" ca="1" si="83"/>
        <v xml:space="preserve"> </v>
      </c>
      <c r="S72" s="20"/>
    </row>
    <row r="73" spans="2:19" x14ac:dyDescent="0.2">
      <c r="B73" s="13" t="s">
        <v>207</v>
      </c>
      <c r="C73" s="44">
        <v>309015947</v>
      </c>
      <c r="D73" s="14">
        <v>978481110</v>
      </c>
      <c r="E73" s="14"/>
      <c r="F73" s="15" t="s">
        <v>21</v>
      </c>
      <c r="G73" s="15" t="s">
        <v>203</v>
      </c>
      <c r="H73" s="15" t="s">
        <v>520</v>
      </c>
      <c r="I73" s="15" t="s">
        <v>70</v>
      </c>
      <c r="J73" s="16">
        <v>44914</v>
      </c>
      <c r="K73" s="16">
        <f t="shared" si="78"/>
        <v>44944</v>
      </c>
      <c r="L73" s="17">
        <v>9500000</v>
      </c>
      <c r="M73" s="45">
        <f t="shared" ca="1" si="79"/>
        <v>158</v>
      </c>
      <c r="N73" s="18" t="str">
        <f t="shared" ca="1" si="84"/>
        <v>Муддати тугаган</v>
      </c>
      <c r="O73" s="19">
        <f t="shared" ca="1" si="80"/>
        <v>9500000</v>
      </c>
      <c r="P73" s="19" t="str">
        <f t="shared" ca="1" si="81"/>
        <v/>
      </c>
      <c r="Q73" s="19" t="str">
        <f t="shared" ca="1" si="82"/>
        <v/>
      </c>
      <c r="R73" s="19">
        <f t="shared" ca="1" si="83"/>
        <v>9500000</v>
      </c>
      <c r="S73" s="20"/>
    </row>
    <row r="74" spans="2:19" x14ac:dyDescent="0.2">
      <c r="B74" s="13" t="s">
        <v>210</v>
      </c>
      <c r="C74" s="44">
        <v>206987843</v>
      </c>
      <c r="D74" s="14">
        <v>916585638</v>
      </c>
      <c r="E74" s="14"/>
      <c r="F74" s="15" t="s">
        <v>24</v>
      </c>
      <c r="G74" s="15" t="s">
        <v>132</v>
      </c>
      <c r="H74" s="15" t="s">
        <v>520</v>
      </c>
      <c r="I74" s="15" t="s">
        <v>26</v>
      </c>
      <c r="J74" s="16">
        <v>45021</v>
      </c>
      <c r="K74" s="16">
        <f t="shared" ref="K74:K78" si="85">IF(J74&gt;0,J74+30," ")</f>
        <v>45051</v>
      </c>
      <c r="L74" s="17">
        <v>211000</v>
      </c>
      <c r="M74" s="45">
        <f t="shared" ref="M74:M78" ca="1" si="86">IF(J74&gt;0,(+$B$1-J74),)</f>
        <v>51</v>
      </c>
      <c r="N74" s="18" t="str">
        <f t="shared" ca="1" si="84"/>
        <v>Муддати тугаган</v>
      </c>
      <c r="O74" s="19">
        <f t="shared" ref="O74:O78" ca="1" si="87">IF(M74&gt;=30,L74, " ")</f>
        <v>211000</v>
      </c>
      <c r="P74" s="19">
        <f t="shared" ref="P74:P78" ca="1" si="88">IF(M74&gt;60,"",(IF(M74&gt;30,O74, "")))</f>
        <v>211000</v>
      </c>
      <c r="Q74" s="19" t="str">
        <f t="shared" ref="Q74:Q78" ca="1" si="89">IF(M74&gt;90,"",(IF(M74&gt;60,O74, "")))</f>
        <v/>
      </c>
      <c r="R74" s="19" t="str">
        <f t="shared" ref="R74:R78" ca="1" si="90">IF(M74&gt;90,L74, " ")</f>
        <v xml:space="preserve"> </v>
      </c>
      <c r="S74" s="20"/>
    </row>
    <row r="75" spans="2:19" x14ac:dyDescent="0.2">
      <c r="B75" s="13" t="s">
        <v>212</v>
      </c>
      <c r="C75" s="40">
        <v>301312615</v>
      </c>
      <c r="D75" s="14"/>
      <c r="E75" s="14"/>
      <c r="F75" s="15" t="s">
        <v>30</v>
      </c>
      <c r="G75" s="15" t="s">
        <v>213</v>
      </c>
      <c r="H75" s="15" t="s">
        <v>520</v>
      </c>
      <c r="I75" s="15" t="s">
        <v>491</v>
      </c>
      <c r="J75" s="16">
        <v>44977</v>
      </c>
      <c r="K75" s="16">
        <f t="shared" si="85"/>
        <v>45007</v>
      </c>
      <c r="L75" s="32">
        <v>1522040</v>
      </c>
      <c r="M75" s="45">
        <f t="shared" ca="1" si="86"/>
        <v>95</v>
      </c>
      <c r="N75" s="18" t="str">
        <f t="shared" ca="1" si="84"/>
        <v>Муддати тугаган</v>
      </c>
      <c r="O75" s="19">
        <f t="shared" ca="1" si="87"/>
        <v>1522040</v>
      </c>
      <c r="P75" s="19" t="str">
        <f t="shared" ca="1" si="88"/>
        <v/>
      </c>
      <c r="Q75" s="19" t="str">
        <f t="shared" ca="1" si="89"/>
        <v/>
      </c>
      <c r="R75" s="19">
        <f t="shared" ca="1" si="90"/>
        <v>1522040</v>
      </c>
      <c r="S75" s="20"/>
    </row>
    <row r="76" spans="2:19" x14ac:dyDescent="0.2">
      <c r="B76" s="13" t="s">
        <v>218</v>
      </c>
      <c r="C76" s="40">
        <v>205712703</v>
      </c>
      <c r="D76" s="14"/>
      <c r="E76" s="14"/>
      <c r="F76" s="15" t="s">
        <v>30</v>
      </c>
      <c r="G76" s="15" t="s">
        <v>79</v>
      </c>
      <c r="H76" s="15" t="s">
        <v>520</v>
      </c>
      <c r="I76" s="15" t="s">
        <v>80</v>
      </c>
      <c r="J76" s="16">
        <v>44923</v>
      </c>
      <c r="K76" s="16">
        <f t="shared" si="85"/>
        <v>44953</v>
      </c>
      <c r="L76" s="17">
        <v>473775</v>
      </c>
      <c r="M76" s="45">
        <f t="shared" ca="1" si="86"/>
        <v>149</v>
      </c>
      <c r="N76" s="18" t="str">
        <f t="shared" ref="N76:N81" ca="1" si="91">IF(M76=0," ",IF(M76&gt;=30,"Муддати тугаган"," "))</f>
        <v>Муддати тугаган</v>
      </c>
      <c r="O76" s="19">
        <f t="shared" ca="1" si="87"/>
        <v>473775</v>
      </c>
      <c r="P76" s="19" t="str">
        <f t="shared" ca="1" si="88"/>
        <v/>
      </c>
      <c r="Q76" s="19" t="str">
        <f t="shared" ca="1" si="89"/>
        <v/>
      </c>
      <c r="R76" s="19">
        <f t="shared" ca="1" si="90"/>
        <v>473775</v>
      </c>
      <c r="S76" s="20"/>
    </row>
    <row r="77" spans="2:19" x14ac:dyDescent="0.2">
      <c r="B77" s="13" t="s">
        <v>218</v>
      </c>
      <c r="C77" s="40">
        <v>205712703</v>
      </c>
      <c r="D77" s="14"/>
      <c r="E77" s="14"/>
      <c r="F77" s="15" t="s">
        <v>30</v>
      </c>
      <c r="G77" s="15" t="s">
        <v>79</v>
      </c>
      <c r="H77" s="15" t="s">
        <v>520</v>
      </c>
      <c r="I77" s="15" t="s">
        <v>80</v>
      </c>
      <c r="J77" s="16">
        <v>44932</v>
      </c>
      <c r="K77" s="16">
        <f t="shared" si="85"/>
        <v>44962</v>
      </c>
      <c r="L77" s="17">
        <v>1034900</v>
      </c>
      <c r="M77" s="45">
        <f t="shared" ca="1" si="86"/>
        <v>140</v>
      </c>
      <c r="N77" s="18" t="str">
        <f t="shared" ca="1" si="91"/>
        <v>Муддати тугаган</v>
      </c>
      <c r="O77" s="19">
        <f t="shared" ca="1" si="87"/>
        <v>1034900</v>
      </c>
      <c r="P77" s="19" t="str">
        <f t="shared" ca="1" si="88"/>
        <v/>
      </c>
      <c r="Q77" s="19" t="str">
        <f t="shared" ca="1" si="89"/>
        <v/>
      </c>
      <c r="R77" s="19">
        <f t="shared" ca="1" si="90"/>
        <v>1034900</v>
      </c>
      <c r="S77" s="20"/>
    </row>
    <row r="78" spans="2:19" x14ac:dyDescent="0.2">
      <c r="B78" s="13" t="s">
        <v>218</v>
      </c>
      <c r="C78" s="40">
        <v>205712703</v>
      </c>
      <c r="D78" s="14"/>
      <c r="E78" s="14"/>
      <c r="F78" s="15" t="s">
        <v>30</v>
      </c>
      <c r="G78" s="15" t="s">
        <v>79</v>
      </c>
      <c r="H78" s="15" t="s">
        <v>520</v>
      </c>
      <c r="I78" s="15" t="s">
        <v>80</v>
      </c>
      <c r="J78" s="16">
        <v>44930</v>
      </c>
      <c r="K78" s="16">
        <f t="shared" si="85"/>
        <v>44960</v>
      </c>
      <c r="L78" s="17">
        <v>627000</v>
      </c>
      <c r="M78" s="45">
        <f t="shared" ca="1" si="86"/>
        <v>142</v>
      </c>
      <c r="N78" s="18" t="str">
        <f t="shared" ca="1" si="91"/>
        <v>Муддати тугаган</v>
      </c>
      <c r="O78" s="19">
        <f t="shared" ca="1" si="87"/>
        <v>627000</v>
      </c>
      <c r="P78" s="19" t="str">
        <f t="shared" ca="1" si="88"/>
        <v/>
      </c>
      <c r="Q78" s="19" t="str">
        <f t="shared" ca="1" si="89"/>
        <v/>
      </c>
      <c r="R78" s="19">
        <f t="shared" ca="1" si="90"/>
        <v>627000</v>
      </c>
      <c r="S78" s="20"/>
    </row>
    <row r="79" spans="2:19" x14ac:dyDescent="0.2">
      <c r="B79" s="13" t="s">
        <v>601</v>
      </c>
      <c r="C79" s="40">
        <v>305950950</v>
      </c>
      <c r="D79" s="14">
        <v>946496394</v>
      </c>
      <c r="E79" s="14"/>
      <c r="F79" s="15" t="s">
        <v>13</v>
      </c>
      <c r="G79" s="15" t="s">
        <v>133</v>
      </c>
      <c r="H79" s="15" t="s">
        <v>520</v>
      </c>
      <c r="I79" s="15" t="s">
        <v>557</v>
      </c>
      <c r="J79" s="16">
        <v>45028</v>
      </c>
      <c r="K79" s="16">
        <f t="shared" ref="K79:K86" si="92">IF(J79&gt;0,J79+30," ")</f>
        <v>45058</v>
      </c>
      <c r="L79" s="17">
        <v>4012450</v>
      </c>
      <c r="M79" s="45">
        <f t="shared" ref="M79:M86" ca="1" si="93">IF(J79&gt;0,(+$B$1-J79),)</f>
        <v>44</v>
      </c>
      <c r="N79" s="18" t="str">
        <f t="shared" ca="1" si="91"/>
        <v>Муддати тугаган</v>
      </c>
      <c r="O79" s="19">
        <f t="shared" ref="O79:O86" ca="1" si="94">IF(M79&gt;=30,L79, " ")</f>
        <v>4012450</v>
      </c>
      <c r="P79" s="19">
        <f t="shared" ref="P79:P86" ca="1" si="95">IF(M79&gt;60,"",(IF(M79&gt;30,O79, "")))</f>
        <v>4012450</v>
      </c>
      <c r="Q79" s="19" t="str">
        <f t="shared" ref="Q79:Q86" ca="1" si="96">IF(M79&gt;90,"",(IF(M79&gt;60,O79, "")))</f>
        <v/>
      </c>
      <c r="R79" s="19" t="str">
        <f t="shared" ref="R79:R86" ca="1" si="97">IF(M79&gt;90,L79, " ")</f>
        <v xml:space="preserve"> </v>
      </c>
      <c r="S79" s="20"/>
    </row>
    <row r="80" spans="2:19" x14ac:dyDescent="0.2">
      <c r="B80" s="13" t="s">
        <v>220</v>
      </c>
      <c r="C80" s="40">
        <v>309217821</v>
      </c>
      <c r="D80" s="14">
        <v>996750093</v>
      </c>
      <c r="E80" s="14"/>
      <c r="F80" s="15" t="s">
        <v>21</v>
      </c>
      <c r="G80" s="15" t="s">
        <v>203</v>
      </c>
      <c r="H80" s="15" t="s">
        <v>520</v>
      </c>
      <c r="I80" s="15" t="s">
        <v>70</v>
      </c>
      <c r="J80" s="16">
        <v>44966</v>
      </c>
      <c r="K80" s="16">
        <f t="shared" si="92"/>
        <v>44996</v>
      </c>
      <c r="L80" s="17">
        <v>6715000</v>
      </c>
      <c r="M80" s="45">
        <f t="shared" ca="1" si="93"/>
        <v>106</v>
      </c>
      <c r="N80" s="18" t="str">
        <f t="shared" ca="1" si="91"/>
        <v>Муддати тугаган</v>
      </c>
      <c r="O80" s="19">
        <f t="shared" ca="1" si="94"/>
        <v>6715000</v>
      </c>
      <c r="P80" s="19" t="str">
        <f t="shared" ca="1" si="95"/>
        <v/>
      </c>
      <c r="Q80" s="19" t="str">
        <f t="shared" ca="1" si="96"/>
        <v/>
      </c>
      <c r="R80" s="19">
        <f t="shared" ca="1" si="97"/>
        <v>6715000</v>
      </c>
      <c r="S80" s="20"/>
    </row>
    <row r="81" spans="2:19" x14ac:dyDescent="0.2">
      <c r="B81" s="13" t="s">
        <v>221</v>
      </c>
      <c r="C81" s="40">
        <v>301491014</v>
      </c>
      <c r="D81" s="14">
        <v>906077171</v>
      </c>
      <c r="E81" s="14"/>
      <c r="F81" s="15" t="s">
        <v>45</v>
      </c>
      <c r="G81" s="15" t="s">
        <v>104</v>
      </c>
      <c r="H81" s="15" t="s">
        <v>520</v>
      </c>
      <c r="I81" s="15" t="s">
        <v>551</v>
      </c>
      <c r="J81" s="16">
        <v>45023</v>
      </c>
      <c r="K81" s="16">
        <f t="shared" si="92"/>
        <v>45053</v>
      </c>
      <c r="L81" s="17">
        <v>868000</v>
      </c>
      <c r="M81" s="45">
        <f t="shared" ca="1" si="93"/>
        <v>49</v>
      </c>
      <c r="N81" s="18" t="str">
        <f t="shared" ca="1" si="91"/>
        <v>Муддати тугаган</v>
      </c>
      <c r="O81" s="19">
        <f t="shared" ca="1" si="94"/>
        <v>868000</v>
      </c>
      <c r="P81" s="19">
        <f t="shared" ca="1" si="95"/>
        <v>868000</v>
      </c>
      <c r="Q81" s="19" t="str">
        <f t="shared" ca="1" si="96"/>
        <v/>
      </c>
      <c r="R81" s="19" t="str">
        <f t="shared" ca="1" si="97"/>
        <v xml:space="preserve"> </v>
      </c>
      <c r="S81" s="20"/>
    </row>
    <row r="82" spans="2:19" x14ac:dyDescent="0.2">
      <c r="B82" s="13" t="s">
        <v>222</v>
      </c>
      <c r="C82" s="40">
        <v>203600170</v>
      </c>
      <c r="D82" s="14">
        <v>972444451</v>
      </c>
      <c r="E82" s="14"/>
      <c r="F82" s="15" t="s">
        <v>525</v>
      </c>
      <c r="G82" s="15" t="s">
        <v>95</v>
      </c>
      <c r="H82" s="15" t="s">
        <v>508</v>
      </c>
      <c r="I82" s="15" t="s">
        <v>556</v>
      </c>
      <c r="J82" s="16">
        <v>44956</v>
      </c>
      <c r="K82" s="16">
        <f t="shared" si="92"/>
        <v>44986</v>
      </c>
      <c r="L82" s="17">
        <v>2444000</v>
      </c>
      <c r="M82" s="45">
        <f t="shared" ca="1" si="93"/>
        <v>116</v>
      </c>
      <c r="N82" s="18" t="str">
        <f t="shared" ref="N82:N90" ca="1" si="98">IF(M82=0," ",IF(M82&gt;=30,"Муддати тугаган"," "))</f>
        <v>Муддати тугаган</v>
      </c>
      <c r="O82" s="19">
        <f t="shared" ca="1" si="94"/>
        <v>2444000</v>
      </c>
      <c r="P82" s="19" t="str">
        <f t="shared" ca="1" si="95"/>
        <v/>
      </c>
      <c r="Q82" s="19" t="str">
        <f t="shared" ca="1" si="96"/>
        <v/>
      </c>
      <c r="R82" s="19">
        <f t="shared" ca="1" si="97"/>
        <v>2444000</v>
      </c>
      <c r="S82" s="20"/>
    </row>
    <row r="83" spans="2:19" x14ac:dyDescent="0.2">
      <c r="B83" s="13" t="s">
        <v>222</v>
      </c>
      <c r="C83" s="40">
        <v>203600170</v>
      </c>
      <c r="D83" s="14">
        <v>972444451</v>
      </c>
      <c r="E83" s="14"/>
      <c r="F83" s="15" t="s">
        <v>21</v>
      </c>
      <c r="G83" s="15" t="s">
        <v>95</v>
      </c>
      <c r="H83" s="15" t="s">
        <v>520</v>
      </c>
      <c r="I83" s="15" t="s">
        <v>70</v>
      </c>
      <c r="J83" s="16">
        <v>44974</v>
      </c>
      <c r="K83" s="16">
        <f t="shared" si="92"/>
        <v>45004</v>
      </c>
      <c r="L83" s="17">
        <v>14599460</v>
      </c>
      <c r="M83" s="45">
        <f t="shared" ca="1" si="93"/>
        <v>98</v>
      </c>
      <c r="N83" s="18" t="str">
        <f t="shared" ca="1" si="98"/>
        <v>Муддати тугаган</v>
      </c>
      <c r="O83" s="19">
        <f t="shared" ca="1" si="94"/>
        <v>14599460</v>
      </c>
      <c r="P83" s="19" t="str">
        <f t="shared" ca="1" si="95"/>
        <v/>
      </c>
      <c r="Q83" s="19" t="str">
        <f t="shared" ca="1" si="96"/>
        <v/>
      </c>
      <c r="R83" s="19">
        <f t="shared" ca="1" si="97"/>
        <v>14599460</v>
      </c>
      <c r="S83" s="20"/>
    </row>
    <row r="84" spans="2:19" x14ac:dyDescent="0.2">
      <c r="B84" s="13" t="s">
        <v>222</v>
      </c>
      <c r="C84" s="40">
        <v>203600170</v>
      </c>
      <c r="D84" s="14">
        <v>972444451</v>
      </c>
      <c r="E84" s="14"/>
      <c r="F84" s="15" t="s">
        <v>21</v>
      </c>
      <c r="G84" s="15" t="s">
        <v>95</v>
      </c>
      <c r="H84" s="15" t="s">
        <v>520</v>
      </c>
      <c r="I84" s="15" t="s">
        <v>70</v>
      </c>
      <c r="J84" s="16">
        <v>44970</v>
      </c>
      <c r="K84" s="16">
        <f t="shared" si="92"/>
        <v>45000</v>
      </c>
      <c r="L84" s="17">
        <v>1650000</v>
      </c>
      <c r="M84" s="45">
        <f t="shared" ca="1" si="93"/>
        <v>102</v>
      </c>
      <c r="N84" s="18" t="str">
        <f t="shared" ca="1" si="98"/>
        <v>Муддати тугаган</v>
      </c>
      <c r="O84" s="19">
        <f t="shared" ca="1" si="94"/>
        <v>1650000</v>
      </c>
      <c r="P84" s="19" t="str">
        <f t="shared" ca="1" si="95"/>
        <v/>
      </c>
      <c r="Q84" s="19" t="str">
        <f t="shared" ca="1" si="96"/>
        <v/>
      </c>
      <c r="R84" s="19">
        <f t="shared" ca="1" si="97"/>
        <v>1650000</v>
      </c>
      <c r="S84" s="20"/>
    </row>
    <row r="85" spans="2:19" x14ac:dyDescent="0.2">
      <c r="B85" s="13" t="s">
        <v>223</v>
      </c>
      <c r="C85" s="40">
        <v>302654094</v>
      </c>
      <c r="D85" s="14">
        <v>975150008</v>
      </c>
      <c r="E85" s="14"/>
      <c r="F85" s="15" t="s">
        <v>17</v>
      </c>
      <c r="G85" s="15" t="s">
        <v>102</v>
      </c>
      <c r="H85" s="15" t="s">
        <v>520</v>
      </c>
      <c r="I85" s="15" t="s">
        <v>187</v>
      </c>
      <c r="J85" s="16">
        <v>44986</v>
      </c>
      <c r="K85" s="16">
        <f t="shared" si="92"/>
        <v>45016</v>
      </c>
      <c r="L85" s="17">
        <v>5793000</v>
      </c>
      <c r="M85" s="45">
        <f t="shared" ca="1" si="93"/>
        <v>86</v>
      </c>
      <c r="N85" s="18" t="str">
        <f t="shared" ca="1" si="98"/>
        <v>Муддати тугаган</v>
      </c>
      <c r="O85" s="19">
        <f t="shared" ca="1" si="94"/>
        <v>5793000</v>
      </c>
      <c r="P85" s="19" t="str">
        <f t="shared" ca="1" si="95"/>
        <v/>
      </c>
      <c r="Q85" s="19">
        <f t="shared" ca="1" si="96"/>
        <v>5793000</v>
      </c>
      <c r="R85" s="19" t="str">
        <f t="shared" ca="1" si="97"/>
        <v xml:space="preserve"> </v>
      </c>
      <c r="S85" s="20"/>
    </row>
    <row r="86" spans="2:19" x14ac:dyDescent="0.2">
      <c r="B86" s="13" t="s">
        <v>544</v>
      </c>
      <c r="C86" s="40">
        <v>301336047</v>
      </c>
      <c r="D86" s="14">
        <v>997333352</v>
      </c>
      <c r="E86" s="14"/>
      <c r="F86" s="15" t="s">
        <v>64</v>
      </c>
      <c r="G86" s="15" t="s">
        <v>263</v>
      </c>
      <c r="H86" s="15" t="s">
        <v>520</v>
      </c>
      <c r="I86" s="15" t="s">
        <v>39</v>
      </c>
      <c r="J86" s="16">
        <v>44963</v>
      </c>
      <c r="K86" s="16">
        <f t="shared" si="92"/>
        <v>44993</v>
      </c>
      <c r="L86" s="17">
        <v>824560</v>
      </c>
      <c r="M86" s="45">
        <f t="shared" ca="1" si="93"/>
        <v>109</v>
      </c>
      <c r="N86" s="18" t="str">
        <f t="shared" ca="1" si="98"/>
        <v>Муддати тугаган</v>
      </c>
      <c r="O86" s="19">
        <f t="shared" ca="1" si="94"/>
        <v>824560</v>
      </c>
      <c r="P86" s="19" t="str">
        <f t="shared" ca="1" si="95"/>
        <v/>
      </c>
      <c r="Q86" s="19" t="str">
        <f t="shared" ca="1" si="96"/>
        <v/>
      </c>
      <c r="R86" s="19">
        <f t="shared" ca="1" si="97"/>
        <v>824560</v>
      </c>
      <c r="S86" s="20"/>
    </row>
    <row r="87" spans="2:19" x14ac:dyDescent="0.2">
      <c r="B87" s="13" t="s">
        <v>224</v>
      </c>
      <c r="C87" s="40">
        <v>306815934</v>
      </c>
      <c r="D87" s="14">
        <v>934080801</v>
      </c>
      <c r="E87" s="14"/>
      <c r="F87" s="15" t="s">
        <v>55</v>
      </c>
      <c r="G87" s="15" t="s">
        <v>159</v>
      </c>
      <c r="H87" s="15" t="s">
        <v>520</v>
      </c>
      <c r="I87" s="15" t="s">
        <v>59</v>
      </c>
      <c r="J87" s="16">
        <v>44957</v>
      </c>
      <c r="K87" s="16">
        <f t="shared" ref="K87:K95" si="99">IF(J87&gt;0,J87+30," ")</f>
        <v>44987</v>
      </c>
      <c r="L87" s="17">
        <v>1269500</v>
      </c>
      <c r="M87" s="45">
        <f t="shared" ref="M87:M95" ca="1" si="100">IF(J87&gt;0,(+$B$1-J87),)</f>
        <v>115</v>
      </c>
      <c r="N87" s="18" t="str">
        <f t="shared" ca="1" si="98"/>
        <v>Муддати тугаган</v>
      </c>
      <c r="O87" s="19">
        <f t="shared" ref="O87:O95" ca="1" si="101">IF(M87&gt;=30,L87, " ")</f>
        <v>1269500</v>
      </c>
      <c r="P87" s="19" t="str">
        <f t="shared" ref="P87:P95" ca="1" si="102">IF(M87&gt;60,"",(IF(M87&gt;30,O87, "")))</f>
        <v/>
      </c>
      <c r="Q87" s="19" t="str">
        <f t="shared" ref="Q87:Q95" ca="1" si="103">IF(M87&gt;90,"",(IF(M87&gt;60,O87, "")))</f>
        <v/>
      </c>
      <c r="R87" s="19">
        <f t="shared" ref="R87:R95" ca="1" si="104">IF(M87&gt;90,L87, " ")</f>
        <v>1269500</v>
      </c>
      <c r="S87" s="20"/>
    </row>
    <row r="88" spans="2:19" x14ac:dyDescent="0.2">
      <c r="B88" s="13" t="s">
        <v>224</v>
      </c>
      <c r="C88" s="40">
        <v>306815934</v>
      </c>
      <c r="D88" s="14">
        <v>934080801</v>
      </c>
      <c r="E88" s="14"/>
      <c r="F88" s="15" t="s">
        <v>55</v>
      </c>
      <c r="G88" s="15" t="s">
        <v>159</v>
      </c>
      <c r="H88" s="15" t="s">
        <v>520</v>
      </c>
      <c r="I88" s="15" t="s">
        <v>59</v>
      </c>
      <c r="J88" s="16">
        <v>44970</v>
      </c>
      <c r="K88" s="16">
        <f t="shared" si="99"/>
        <v>45000</v>
      </c>
      <c r="L88" s="17">
        <v>6923000</v>
      </c>
      <c r="M88" s="45">
        <f t="shared" ca="1" si="100"/>
        <v>102</v>
      </c>
      <c r="N88" s="18" t="str">
        <f t="shared" ca="1" si="98"/>
        <v>Муддати тугаган</v>
      </c>
      <c r="O88" s="19">
        <f t="shared" ca="1" si="101"/>
        <v>6923000</v>
      </c>
      <c r="P88" s="19" t="str">
        <f t="shared" ca="1" si="102"/>
        <v/>
      </c>
      <c r="Q88" s="19" t="str">
        <f t="shared" ca="1" si="103"/>
        <v/>
      </c>
      <c r="R88" s="19">
        <f t="shared" ca="1" si="104"/>
        <v>6923000</v>
      </c>
      <c r="S88" s="20"/>
    </row>
    <row r="89" spans="2:19" x14ac:dyDescent="0.2">
      <c r="B89" s="13" t="s">
        <v>600</v>
      </c>
      <c r="C89" s="40">
        <v>308521912</v>
      </c>
      <c r="D89" s="14">
        <v>916806686</v>
      </c>
      <c r="E89" s="14"/>
      <c r="F89" s="15" t="s">
        <v>24</v>
      </c>
      <c r="G89" s="15" t="s">
        <v>566</v>
      </c>
      <c r="H89" s="15" t="s">
        <v>520</v>
      </c>
      <c r="I89" s="15" t="s">
        <v>152</v>
      </c>
      <c r="J89" s="16">
        <v>45026</v>
      </c>
      <c r="K89" s="16">
        <f t="shared" si="99"/>
        <v>45056</v>
      </c>
      <c r="L89" s="21">
        <v>547960</v>
      </c>
      <c r="M89" s="45">
        <f t="shared" ca="1" si="100"/>
        <v>46</v>
      </c>
      <c r="N89" s="18" t="str">
        <f t="shared" ca="1" si="98"/>
        <v>Муддати тугаган</v>
      </c>
      <c r="O89" s="19">
        <f t="shared" ca="1" si="101"/>
        <v>547960</v>
      </c>
      <c r="P89" s="19">
        <f t="shared" ca="1" si="102"/>
        <v>547960</v>
      </c>
      <c r="Q89" s="19" t="str">
        <f t="shared" ca="1" si="103"/>
        <v/>
      </c>
      <c r="R89" s="19" t="str">
        <f t="shared" ca="1" si="104"/>
        <v xml:space="preserve"> </v>
      </c>
      <c r="S89" s="20"/>
    </row>
    <row r="90" spans="2:19" x14ac:dyDescent="0.2">
      <c r="B90" s="13" t="s">
        <v>536</v>
      </c>
      <c r="C90" s="40">
        <v>309565840</v>
      </c>
      <c r="D90" s="14">
        <v>913967700</v>
      </c>
      <c r="E90" s="14"/>
      <c r="F90" s="15" t="s">
        <v>24</v>
      </c>
      <c r="G90" s="15" t="s">
        <v>174</v>
      </c>
      <c r="H90" s="15" t="s">
        <v>520</v>
      </c>
      <c r="I90" s="15" t="s">
        <v>152</v>
      </c>
      <c r="J90" s="16">
        <v>44958</v>
      </c>
      <c r="K90" s="16">
        <f t="shared" si="99"/>
        <v>44988</v>
      </c>
      <c r="L90" s="17">
        <v>406800</v>
      </c>
      <c r="M90" s="45">
        <f t="shared" ca="1" si="100"/>
        <v>114</v>
      </c>
      <c r="N90" s="18" t="str">
        <f t="shared" ca="1" si="98"/>
        <v>Муддати тугаган</v>
      </c>
      <c r="O90" s="19">
        <f t="shared" ca="1" si="101"/>
        <v>406800</v>
      </c>
      <c r="P90" s="19" t="str">
        <f t="shared" ca="1" si="102"/>
        <v/>
      </c>
      <c r="Q90" s="19" t="str">
        <f t="shared" ca="1" si="103"/>
        <v/>
      </c>
      <c r="R90" s="19">
        <f t="shared" ca="1" si="104"/>
        <v>406800</v>
      </c>
      <c r="S90" s="20"/>
    </row>
    <row r="91" spans="2:19" x14ac:dyDescent="0.2">
      <c r="B91" s="13" t="s">
        <v>226</v>
      </c>
      <c r="C91" s="40">
        <v>201741496</v>
      </c>
      <c r="D91" s="38">
        <v>908807823</v>
      </c>
      <c r="E91" s="14"/>
      <c r="F91" s="15" t="s">
        <v>45</v>
      </c>
      <c r="G91" s="15" t="s">
        <v>196</v>
      </c>
      <c r="H91" s="15" t="s">
        <v>520</v>
      </c>
      <c r="I91" s="15" t="s">
        <v>116</v>
      </c>
      <c r="J91" s="16">
        <v>44888</v>
      </c>
      <c r="K91" s="16">
        <f t="shared" si="99"/>
        <v>44918</v>
      </c>
      <c r="L91" s="17">
        <v>5419750</v>
      </c>
      <c r="M91" s="45">
        <f t="shared" ca="1" si="100"/>
        <v>184</v>
      </c>
      <c r="N91" s="18" t="str">
        <f t="shared" ref="N91:N97" ca="1" si="105">IF(M91=0," ",IF(M91&gt;=30,"Муддати тугаган"," "))</f>
        <v>Муддати тугаган</v>
      </c>
      <c r="O91" s="19">
        <f t="shared" ca="1" si="101"/>
        <v>5419750</v>
      </c>
      <c r="P91" s="19" t="str">
        <f t="shared" ca="1" si="102"/>
        <v/>
      </c>
      <c r="Q91" s="19" t="str">
        <f t="shared" ca="1" si="103"/>
        <v/>
      </c>
      <c r="R91" s="19">
        <f t="shared" ca="1" si="104"/>
        <v>5419750</v>
      </c>
      <c r="S91" s="20"/>
    </row>
    <row r="92" spans="2:19" x14ac:dyDescent="0.2">
      <c r="B92" s="13" t="s">
        <v>226</v>
      </c>
      <c r="C92" s="40">
        <v>201741496</v>
      </c>
      <c r="D92" s="38">
        <v>908807823</v>
      </c>
      <c r="E92" s="14"/>
      <c r="F92" s="15" t="s">
        <v>45</v>
      </c>
      <c r="G92" s="15" t="s">
        <v>196</v>
      </c>
      <c r="H92" s="15" t="s">
        <v>520</v>
      </c>
      <c r="I92" s="15" t="s">
        <v>116</v>
      </c>
      <c r="J92" s="16">
        <v>44939</v>
      </c>
      <c r="K92" s="16">
        <f t="shared" si="99"/>
        <v>44969</v>
      </c>
      <c r="L92" s="17">
        <v>4030000</v>
      </c>
      <c r="M92" s="45">
        <f t="shared" ca="1" si="100"/>
        <v>133</v>
      </c>
      <c r="N92" s="18" t="str">
        <f t="shared" ca="1" si="105"/>
        <v>Муддати тугаган</v>
      </c>
      <c r="O92" s="19">
        <f t="shared" ca="1" si="101"/>
        <v>4030000</v>
      </c>
      <c r="P92" s="19" t="str">
        <f t="shared" ca="1" si="102"/>
        <v/>
      </c>
      <c r="Q92" s="19" t="str">
        <f t="shared" ca="1" si="103"/>
        <v/>
      </c>
      <c r="R92" s="19">
        <f t="shared" ca="1" si="104"/>
        <v>4030000</v>
      </c>
      <c r="S92" s="20"/>
    </row>
    <row r="93" spans="2:19" x14ac:dyDescent="0.2">
      <c r="B93" s="13" t="s">
        <v>226</v>
      </c>
      <c r="C93" s="40">
        <v>201741496</v>
      </c>
      <c r="D93" s="38">
        <v>908807823</v>
      </c>
      <c r="E93" s="14"/>
      <c r="F93" s="15" t="s">
        <v>45</v>
      </c>
      <c r="G93" s="15" t="s">
        <v>196</v>
      </c>
      <c r="H93" s="15" t="s">
        <v>520</v>
      </c>
      <c r="I93" s="15" t="s">
        <v>116</v>
      </c>
      <c r="J93" s="16">
        <v>44908</v>
      </c>
      <c r="K93" s="16">
        <f t="shared" si="99"/>
        <v>44938</v>
      </c>
      <c r="L93" s="17">
        <v>3147000</v>
      </c>
      <c r="M93" s="45">
        <f t="shared" ca="1" si="100"/>
        <v>164</v>
      </c>
      <c r="N93" s="18" t="str">
        <f t="shared" ca="1" si="105"/>
        <v>Муддати тугаган</v>
      </c>
      <c r="O93" s="19">
        <f t="shared" ca="1" si="101"/>
        <v>3147000</v>
      </c>
      <c r="P93" s="19" t="str">
        <f t="shared" ca="1" si="102"/>
        <v/>
      </c>
      <c r="Q93" s="19" t="str">
        <f t="shared" ca="1" si="103"/>
        <v/>
      </c>
      <c r="R93" s="19">
        <f t="shared" ca="1" si="104"/>
        <v>3147000</v>
      </c>
      <c r="S93" s="20"/>
    </row>
    <row r="94" spans="2:19" x14ac:dyDescent="0.2">
      <c r="B94" s="24" t="s">
        <v>227</v>
      </c>
      <c r="C94" s="43">
        <v>201761155</v>
      </c>
      <c r="D94" s="25">
        <v>993230307</v>
      </c>
      <c r="E94" s="25"/>
      <c r="F94" s="26" t="s">
        <v>30</v>
      </c>
      <c r="G94" s="26" t="s">
        <v>195</v>
      </c>
      <c r="H94" s="26" t="s">
        <v>520</v>
      </c>
      <c r="I94" s="26" t="s">
        <v>35</v>
      </c>
      <c r="J94" s="27">
        <v>44543</v>
      </c>
      <c r="K94" s="27">
        <f t="shared" si="99"/>
        <v>44573</v>
      </c>
      <c r="L94" s="37">
        <v>4147700</v>
      </c>
      <c r="M94" s="46">
        <f t="shared" ca="1" si="100"/>
        <v>529</v>
      </c>
      <c r="N94" s="57" t="str">
        <f t="shared" ca="1" si="105"/>
        <v>Муддати тугаган</v>
      </c>
      <c r="O94" s="29">
        <f t="shared" ca="1" si="101"/>
        <v>4147700</v>
      </c>
      <c r="P94" s="29" t="str">
        <f t="shared" ca="1" si="102"/>
        <v/>
      </c>
      <c r="Q94" s="29" t="str">
        <f t="shared" ca="1" si="103"/>
        <v/>
      </c>
      <c r="R94" s="29">
        <f t="shared" ca="1" si="104"/>
        <v>4147700</v>
      </c>
      <c r="S94" s="76"/>
    </row>
    <row r="95" spans="2:19" x14ac:dyDescent="0.2">
      <c r="B95" s="13" t="s">
        <v>228</v>
      </c>
      <c r="C95" s="40">
        <v>309197151</v>
      </c>
      <c r="D95" s="14">
        <v>973950320</v>
      </c>
      <c r="E95" s="14"/>
      <c r="F95" s="15" t="s">
        <v>64</v>
      </c>
      <c r="G95" s="15" t="s">
        <v>64</v>
      </c>
      <c r="H95" s="15" t="s">
        <v>520</v>
      </c>
      <c r="I95" s="15" t="s">
        <v>69</v>
      </c>
      <c r="J95" s="16">
        <v>44979</v>
      </c>
      <c r="K95" s="16">
        <f t="shared" si="99"/>
        <v>45009</v>
      </c>
      <c r="L95" s="22">
        <v>1908750</v>
      </c>
      <c r="M95" s="45">
        <f t="shared" ca="1" si="100"/>
        <v>93</v>
      </c>
      <c r="N95" s="18" t="str">
        <f t="shared" ca="1" si="105"/>
        <v>Муддати тугаган</v>
      </c>
      <c r="O95" s="19">
        <f t="shared" ca="1" si="101"/>
        <v>1908750</v>
      </c>
      <c r="P95" s="19" t="str">
        <f t="shared" ca="1" si="102"/>
        <v/>
      </c>
      <c r="Q95" s="19" t="str">
        <f t="shared" ca="1" si="103"/>
        <v/>
      </c>
      <c r="R95" s="19">
        <f t="shared" ca="1" si="104"/>
        <v>1908750</v>
      </c>
      <c r="S95" s="20"/>
    </row>
    <row r="96" spans="2:19" x14ac:dyDescent="0.2">
      <c r="B96" s="13" t="s">
        <v>229</v>
      </c>
      <c r="C96" s="40">
        <v>301630694</v>
      </c>
      <c r="D96" s="31">
        <v>943590080</v>
      </c>
      <c r="E96" s="14"/>
      <c r="F96" s="15" t="s">
        <v>13</v>
      </c>
      <c r="G96" s="15" t="s">
        <v>109</v>
      </c>
      <c r="H96" s="15" t="s">
        <v>520</v>
      </c>
      <c r="I96" s="15" t="s">
        <v>110</v>
      </c>
      <c r="J96" s="16">
        <v>45019</v>
      </c>
      <c r="K96" s="16">
        <f t="shared" ref="K96:K99" si="106">IF(J96&gt;0,J96+30," ")</f>
        <v>45049</v>
      </c>
      <c r="L96" s="17">
        <v>2003810</v>
      </c>
      <c r="M96" s="45">
        <f t="shared" ref="M96:M99" ca="1" si="107">IF(J96&gt;0,(+$B$1-J96),)</f>
        <v>53</v>
      </c>
      <c r="N96" s="18" t="str">
        <f t="shared" ca="1" si="105"/>
        <v>Муддати тугаган</v>
      </c>
      <c r="O96" s="19">
        <f t="shared" ref="O96:O99" ca="1" si="108">IF(M96&gt;=30,L96, " ")</f>
        <v>2003810</v>
      </c>
      <c r="P96" s="19">
        <f t="shared" ref="P96:P99" ca="1" si="109">IF(M96&gt;60,"",(IF(M96&gt;30,O96, "")))</f>
        <v>2003810</v>
      </c>
      <c r="Q96" s="19" t="str">
        <f t="shared" ref="Q96:Q99" ca="1" si="110">IF(M96&gt;90,"",(IF(M96&gt;60,O96, "")))</f>
        <v/>
      </c>
      <c r="R96" s="19" t="str">
        <f t="shared" ref="R96:R99" ca="1" si="111">IF(M96&gt;90,L96, " ")</f>
        <v xml:space="preserve"> </v>
      </c>
      <c r="S96" s="20"/>
    </row>
    <row r="97" spans="2:19" x14ac:dyDescent="0.2">
      <c r="B97" s="13" t="s">
        <v>230</v>
      </c>
      <c r="C97" s="40">
        <v>307328004</v>
      </c>
      <c r="D97" s="14"/>
      <c r="E97" s="14"/>
      <c r="F97" s="15" t="s">
        <v>30</v>
      </c>
      <c r="G97" s="15" t="s">
        <v>162</v>
      </c>
      <c r="H97" s="15" t="s">
        <v>520</v>
      </c>
      <c r="I97" s="15" t="s">
        <v>34</v>
      </c>
      <c r="J97" s="16">
        <v>45015</v>
      </c>
      <c r="K97" s="16">
        <f t="shared" si="106"/>
        <v>45045</v>
      </c>
      <c r="L97" s="17">
        <v>337200</v>
      </c>
      <c r="M97" s="45">
        <f t="shared" ca="1" si="107"/>
        <v>57</v>
      </c>
      <c r="N97" s="18" t="str">
        <f t="shared" ca="1" si="105"/>
        <v>Муддати тугаган</v>
      </c>
      <c r="O97" s="19">
        <f t="shared" ca="1" si="108"/>
        <v>337200</v>
      </c>
      <c r="P97" s="19">
        <f t="shared" ca="1" si="109"/>
        <v>337200</v>
      </c>
      <c r="Q97" s="19" t="str">
        <f t="shared" ca="1" si="110"/>
        <v/>
      </c>
      <c r="R97" s="19" t="str">
        <f t="shared" ca="1" si="111"/>
        <v xml:space="preserve"> </v>
      </c>
      <c r="S97" s="20"/>
    </row>
    <row r="98" spans="2:19" x14ac:dyDescent="0.2">
      <c r="B98" s="13" t="s">
        <v>537</v>
      </c>
      <c r="C98" s="40">
        <v>308678835</v>
      </c>
      <c r="D98" s="14">
        <v>905705618</v>
      </c>
      <c r="E98" s="14"/>
      <c r="F98" s="15" t="s">
        <v>24</v>
      </c>
      <c r="G98" s="15" t="s">
        <v>25</v>
      </c>
      <c r="H98" s="15" t="s">
        <v>520</v>
      </c>
      <c r="I98" s="15" t="s">
        <v>89</v>
      </c>
      <c r="J98" s="16">
        <v>45034</v>
      </c>
      <c r="K98" s="16">
        <f t="shared" si="106"/>
        <v>45064</v>
      </c>
      <c r="L98" s="21">
        <v>7582300</v>
      </c>
      <c r="M98" s="45">
        <f t="shared" ca="1" si="107"/>
        <v>38</v>
      </c>
      <c r="N98" s="18" t="str">
        <f t="shared" ref="N98:N103" ca="1" si="112">IF(M98=0," ",IF(M98&gt;=30,"Муддати тугаган"," "))</f>
        <v>Муддати тугаган</v>
      </c>
      <c r="O98" s="19">
        <f t="shared" ca="1" si="108"/>
        <v>7582300</v>
      </c>
      <c r="P98" s="19">
        <f t="shared" ca="1" si="109"/>
        <v>7582300</v>
      </c>
      <c r="Q98" s="19" t="str">
        <f t="shared" ca="1" si="110"/>
        <v/>
      </c>
      <c r="R98" s="19" t="str">
        <f t="shared" ca="1" si="111"/>
        <v xml:space="preserve"> </v>
      </c>
      <c r="S98" s="20"/>
    </row>
    <row r="99" spans="2:19" x14ac:dyDescent="0.2">
      <c r="B99" s="13" t="s">
        <v>232</v>
      </c>
      <c r="C99" s="40">
        <v>305942651</v>
      </c>
      <c r="D99" s="14">
        <v>990290050</v>
      </c>
      <c r="E99" s="14"/>
      <c r="F99" s="15" t="s">
        <v>15</v>
      </c>
      <c r="G99" s="15" t="s">
        <v>164</v>
      </c>
      <c r="H99" s="15" t="s">
        <v>520</v>
      </c>
      <c r="I99" s="15" t="s">
        <v>41</v>
      </c>
      <c r="J99" s="16">
        <v>44960</v>
      </c>
      <c r="K99" s="16">
        <f t="shared" si="106"/>
        <v>44990</v>
      </c>
      <c r="L99" s="17">
        <v>3231400</v>
      </c>
      <c r="M99" s="45">
        <f t="shared" ca="1" si="107"/>
        <v>112</v>
      </c>
      <c r="N99" s="18" t="str">
        <f t="shared" ca="1" si="112"/>
        <v>Муддати тугаган</v>
      </c>
      <c r="O99" s="19">
        <f t="shared" ca="1" si="108"/>
        <v>3231400</v>
      </c>
      <c r="P99" s="19" t="str">
        <f t="shared" ca="1" si="109"/>
        <v/>
      </c>
      <c r="Q99" s="19" t="str">
        <f t="shared" ca="1" si="110"/>
        <v/>
      </c>
      <c r="R99" s="19">
        <f t="shared" ca="1" si="111"/>
        <v>3231400</v>
      </c>
      <c r="S99" s="20"/>
    </row>
    <row r="100" spans="2:19" x14ac:dyDescent="0.2">
      <c r="B100" s="13" t="s">
        <v>608</v>
      </c>
      <c r="C100" s="40">
        <v>306738594</v>
      </c>
      <c r="D100" s="14"/>
      <c r="E100" s="14"/>
      <c r="F100" s="15" t="s">
        <v>522</v>
      </c>
      <c r="G100" s="15" t="s">
        <v>36</v>
      </c>
      <c r="H100" s="15" t="s">
        <v>508</v>
      </c>
      <c r="I100" s="15" t="s">
        <v>516</v>
      </c>
      <c r="J100" s="16">
        <v>45009</v>
      </c>
      <c r="K100" s="16">
        <f t="shared" ref="K100:K106" si="113">IF(J100&gt;0,J100+30," ")</f>
        <v>45039</v>
      </c>
      <c r="L100" s="17">
        <v>566200</v>
      </c>
      <c r="M100" s="45">
        <f t="shared" ref="M100:M106" ca="1" si="114">IF(J100&gt;0,(+$B$1-J100),)</f>
        <v>63</v>
      </c>
      <c r="N100" s="18" t="str">
        <f t="shared" ca="1" si="112"/>
        <v>Муддати тугаган</v>
      </c>
      <c r="O100" s="19">
        <f t="shared" ref="O100:O106" ca="1" si="115">IF(M100&gt;=30,L100, " ")</f>
        <v>566200</v>
      </c>
      <c r="P100" s="19" t="str">
        <f t="shared" ref="P100:P106" ca="1" si="116">IF(M100&gt;60,"",(IF(M100&gt;30,O100, "")))</f>
        <v/>
      </c>
      <c r="Q100" s="19">
        <f t="shared" ref="Q100:Q106" ca="1" si="117">IF(M100&gt;90,"",(IF(M100&gt;60,O100, "")))</f>
        <v>566200</v>
      </c>
      <c r="R100" s="19" t="str">
        <f t="shared" ref="R100:R106" ca="1" si="118">IF(M100&gt;90,L100, " ")</f>
        <v xml:space="preserve"> </v>
      </c>
      <c r="S100" s="20"/>
    </row>
    <row r="101" spans="2:19" x14ac:dyDescent="0.2">
      <c r="B101" s="13" t="s">
        <v>608</v>
      </c>
      <c r="C101" s="40">
        <v>306738594</v>
      </c>
      <c r="D101" s="14"/>
      <c r="E101" s="14"/>
      <c r="F101" s="15" t="s">
        <v>522</v>
      </c>
      <c r="G101" s="15" t="s">
        <v>36</v>
      </c>
      <c r="H101" s="15" t="s">
        <v>508</v>
      </c>
      <c r="I101" s="15" t="s">
        <v>516</v>
      </c>
      <c r="J101" s="16">
        <v>45035</v>
      </c>
      <c r="K101" s="16">
        <f t="shared" si="113"/>
        <v>45065</v>
      </c>
      <c r="L101" s="17">
        <v>460000</v>
      </c>
      <c r="M101" s="45">
        <f t="shared" ca="1" si="114"/>
        <v>37</v>
      </c>
      <c r="N101" s="18" t="str">
        <f t="shared" ca="1" si="112"/>
        <v>Муддати тугаган</v>
      </c>
      <c r="O101" s="19">
        <f t="shared" ca="1" si="115"/>
        <v>460000</v>
      </c>
      <c r="P101" s="19">
        <f t="shared" ca="1" si="116"/>
        <v>460000</v>
      </c>
      <c r="Q101" s="19" t="str">
        <f t="shared" ca="1" si="117"/>
        <v/>
      </c>
      <c r="R101" s="19" t="str">
        <f t="shared" ca="1" si="118"/>
        <v xml:space="preserve"> </v>
      </c>
      <c r="S101" s="20"/>
    </row>
    <row r="102" spans="2:19" x14ac:dyDescent="0.2">
      <c r="B102" s="13" t="s">
        <v>234</v>
      </c>
      <c r="C102" s="40">
        <v>305420881</v>
      </c>
      <c r="D102" s="14">
        <v>914127070</v>
      </c>
      <c r="E102" s="14"/>
      <c r="F102" s="15" t="s">
        <v>522</v>
      </c>
      <c r="G102" s="15" t="s">
        <v>36</v>
      </c>
      <c r="H102" s="15" t="s">
        <v>508</v>
      </c>
      <c r="I102" s="15" t="s">
        <v>516</v>
      </c>
      <c r="J102" s="16">
        <v>45009</v>
      </c>
      <c r="K102" s="16">
        <f t="shared" si="113"/>
        <v>45039</v>
      </c>
      <c r="L102" s="17">
        <v>566200</v>
      </c>
      <c r="M102" s="45">
        <f t="shared" ca="1" si="114"/>
        <v>63</v>
      </c>
      <c r="N102" s="18" t="str">
        <f t="shared" ca="1" si="112"/>
        <v>Муддати тугаган</v>
      </c>
      <c r="O102" s="19">
        <f t="shared" ca="1" si="115"/>
        <v>566200</v>
      </c>
      <c r="P102" s="19" t="str">
        <f t="shared" ca="1" si="116"/>
        <v/>
      </c>
      <c r="Q102" s="19">
        <f t="shared" ca="1" si="117"/>
        <v>566200</v>
      </c>
      <c r="R102" s="19" t="str">
        <f t="shared" ca="1" si="118"/>
        <v xml:space="preserve"> </v>
      </c>
      <c r="S102" s="20"/>
    </row>
    <row r="103" spans="2:19" x14ac:dyDescent="0.2">
      <c r="B103" s="13" t="s">
        <v>235</v>
      </c>
      <c r="C103" s="40">
        <v>305741292</v>
      </c>
      <c r="D103" s="14">
        <v>979607545</v>
      </c>
      <c r="E103" s="14"/>
      <c r="F103" s="15" t="s">
        <v>24</v>
      </c>
      <c r="G103" s="15" t="s">
        <v>24</v>
      </c>
      <c r="H103" s="15" t="s">
        <v>520</v>
      </c>
      <c r="I103" s="15" t="s">
        <v>91</v>
      </c>
      <c r="J103" s="16">
        <v>45023</v>
      </c>
      <c r="K103" s="16">
        <f t="shared" si="113"/>
        <v>45053</v>
      </c>
      <c r="L103" s="21">
        <v>3188575</v>
      </c>
      <c r="M103" s="45">
        <f t="shared" ca="1" si="114"/>
        <v>49</v>
      </c>
      <c r="N103" s="18" t="str">
        <f t="shared" ca="1" si="112"/>
        <v>Муддати тугаган</v>
      </c>
      <c r="O103" s="19">
        <f t="shared" ca="1" si="115"/>
        <v>3188575</v>
      </c>
      <c r="P103" s="19">
        <f t="shared" ca="1" si="116"/>
        <v>3188575</v>
      </c>
      <c r="Q103" s="19" t="str">
        <f t="shared" ca="1" si="117"/>
        <v/>
      </c>
      <c r="R103" s="19" t="str">
        <f t="shared" ca="1" si="118"/>
        <v xml:space="preserve"> </v>
      </c>
      <c r="S103" s="20"/>
    </row>
    <row r="104" spans="2:19" x14ac:dyDescent="0.2">
      <c r="B104" s="13" t="s">
        <v>369</v>
      </c>
      <c r="C104" s="40">
        <v>300385201</v>
      </c>
      <c r="D104" s="14">
        <v>911200044</v>
      </c>
      <c r="E104" s="14"/>
      <c r="F104" s="15" t="s">
        <v>24</v>
      </c>
      <c r="G104" s="15" t="s">
        <v>24</v>
      </c>
      <c r="H104" s="15" t="s">
        <v>520</v>
      </c>
      <c r="I104" s="15" t="s">
        <v>101</v>
      </c>
      <c r="J104" s="16">
        <v>44900</v>
      </c>
      <c r="K104" s="16">
        <f t="shared" si="113"/>
        <v>44930</v>
      </c>
      <c r="L104" s="17">
        <v>8379625</v>
      </c>
      <c r="M104" s="45">
        <f t="shared" ca="1" si="114"/>
        <v>172</v>
      </c>
      <c r="N104" s="18" t="str">
        <f t="shared" ref="N104:N118" ca="1" si="119">IF(M104=0," ",IF(M104&gt;=30,"Муддати тугаган"," "))</f>
        <v>Муддати тугаган</v>
      </c>
      <c r="O104" s="19">
        <f t="shared" ca="1" si="115"/>
        <v>8379625</v>
      </c>
      <c r="P104" s="19" t="str">
        <f t="shared" ca="1" si="116"/>
        <v/>
      </c>
      <c r="Q104" s="19" t="str">
        <f t="shared" ca="1" si="117"/>
        <v/>
      </c>
      <c r="R104" s="19">
        <f t="shared" ca="1" si="118"/>
        <v>8379625</v>
      </c>
      <c r="S104" s="20"/>
    </row>
    <row r="105" spans="2:19" x14ac:dyDescent="0.2">
      <c r="B105" s="13" t="s">
        <v>236</v>
      </c>
      <c r="C105" s="40">
        <v>306205221</v>
      </c>
      <c r="D105" s="14">
        <v>975505575</v>
      </c>
      <c r="E105" s="14"/>
      <c r="F105" s="15" t="s">
        <v>21</v>
      </c>
      <c r="G105" s="15" t="s">
        <v>95</v>
      </c>
      <c r="H105" s="15" t="s">
        <v>520</v>
      </c>
      <c r="I105" s="15" t="s">
        <v>70</v>
      </c>
      <c r="J105" s="16">
        <v>44902</v>
      </c>
      <c r="K105" s="16">
        <f t="shared" si="113"/>
        <v>44932</v>
      </c>
      <c r="L105" s="17">
        <v>2653125</v>
      </c>
      <c r="M105" s="45">
        <f t="shared" ca="1" si="114"/>
        <v>170</v>
      </c>
      <c r="N105" s="18" t="str">
        <f t="shared" ca="1" si="119"/>
        <v>Муддати тугаган</v>
      </c>
      <c r="O105" s="19">
        <f t="shared" ca="1" si="115"/>
        <v>2653125</v>
      </c>
      <c r="P105" s="19" t="str">
        <f t="shared" ca="1" si="116"/>
        <v/>
      </c>
      <c r="Q105" s="19" t="str">
        <f t="shared" ca="1" si="117"/>
        <v/>
      </c>
      <c r="R105" s="19">
        <f t="shared" ca="1" si="118"/>
        <v>2653125</v>
      </c>
      <c r="S105" s="20"/>
    </row>
    <row r="106" spans="2:19" x14ac:dyDescent="0.2">
      <c r="B106" s="13" t="s">
        <v>553</v>
      </c>
      <c r="C106" s="40">
        <v>203508822</v>
      </c>
      <c r="D106" s="14">
        <v>955353530</v>
      </c>
      <c r="E106" s="14"/>
      <c r="F106" s="15" t="s">
        <v>13</v>
      </c>
      <c r="G106" s="15" t="s">
        <v>233</v>
      </c>
      <c r="H106" s="15" t="s">
        <v>520</v>
      </c>
      <c r="I106" s="15" t="s">
        <v>539</v>
      </c>
      <c r="J106" s="16">
        <v>44978</v>
      </c>
      <c r="K106" s="16">
        <f t="shared" si="113"/>
        <v>45008</v>
      </c>
      <c r="L106" s="17">
        <v>71000</v>
      </c>
      <c r="M106" s="45">
        <f t="shared" ca="1" si="114"/>
        <v>94</v>
      </c>
      <c r="N106" s="18" t="str">
        <f t="shared" ca="1" si="119"/>
        <v>Муддати тугаган</v>
      </c>
      <c r="O106" s="19">
        <f t="shared" ca="1" si="115"/>
        <v>71000</v>
      </c>
      <c r="P106" s="19" t="str">
        <f t="shared" ca="1" si="116"/>
        <v/>
      </c>
      <c r="Q106" s="19" t="str">
        <f t="shared" ca="1" si="117"/>
        <v/>
      </c>
      <c r="R106" s="19">
        <f t="shared" ca="1" si="118"/>
        <v>71000</v>
      </c>
      <c r="S106" s="20"/>
    </row>
    <row r="107" spans="2:19" x14ac:dyDescent="0.2">
      <c r="B107" s="13" t="s">
        <v>237</v>
      </c>
      <c r="C107" s="40">
        <v>308990852</v>
      </c>
      <c r="D107" s="14"/>
      <c r="E107" s="14"/>
      <c r="F107" s="15" t="s">
        <v>45</v>
      </c>
      <c r="G107" s="15" t="s">
        <v>104</v>
      </c>
      <c r="H107" s="15" t="s">
        <v>520</v>
      </c>
      <c r="I107" s="15" t="s">
        <v>46</v>
      </c>
      <c r="J107" s="16">
        <v>44644</v>
      </c>
      <c r="K107" s="16">
        <f t="shared" ref="K107:K119" si="120">IF(J107&gt;0,J107+30," ")</f>
        <v>44674</v>
      </c>
      <c r="L107" s="17">
        <v>3249000</v>
      </c>
      <c r="M107" s="45">
        <f t="shared" ref="M107:M119" ca="1" si="121">IF(J107&gt;0,(+$B$1-J107),)</f>
        <v>428</v>
      </c>
      <c r="N107" s="18" t="str">
        <f t="shared" ca="1" si="119"/>
        <v>Муддати тугаган</v>
      </c>
      <c r="O107" s="19">
        <f t="shared" ref="O107:O119" ca="1" si="122">IF(M107&gt;=30,L107, " ")</f>
        <v>3249000</v>
      </c>
      <c r="P107" s="19" t="str">
        <f t="shared" ref="P107:P119" ca="1" si="123">IF(M107&gt;60,"",(IF(M107&gt;30,O107, "")))</f>
        <v/>
      </c>
      <c r="Q107" s="19" t="str">
        <f t="shared" ref="Q107:Q119" ca="1" si="124">IF(M107&gt;90,"",(IF(M107&gt;60,O107, "")))</f>
        <v/>
      </c>
      <c r="R107" s="19">
        <f t="shared" ref="R107:R119" ca="1" si="125">IF(M107&gt;90,L107, " ")</f>
        <v>3249000</v>
      </c>
      <c r="S107" s="20"/>
    </row>
    <row r="108" spans="2:19" x14ac:dyDescent="0.2">
      <c r="B108" s="13" t="s">
        <v>238</v>
      </c>
      <c r="C108" s="40">
        <v>309909885</v>
      </c>
      <c r="D108" s="14"/>
      <c r="E108" s="14"/>
      <c r="F108" s="15" t="s">
        <v>24</v>
      </c>
      <c r="G108" s="15" t="s">
        <v>239</v>
      </c>
      <c r="H108" s="15" t="s">
        <v>520</v>
      </c>
      <c r="I108" s="15" t="s">
        <v>91</v>
      </c>
      <c r="J108" s="16">
        <v>45026</v>
      </c>
      <c r="K108" s="16">
        <f t="shared" si="120"/>
        <v>45056</v>
      </c>
      <c r="L108" s="17">
        <v>590000</v>
      </c>
      <c r="M108" s="45">
        <f t="shared" ca="1" si="121"/>
        <v>46</v>
      </c>
      <c r="N108" s="18" t="str">
        <f t="shared" ca="1" si="119"/>
        <v>Муддати тугаган</v>
      </c>
      <c r="O108" s="19">
        <f t="shared" ca="1" si="122"/>
        <v>590000</v>
      </c>
      <c r="P108" s="19">
        <f t="shared" ca="1" si="123"/>
        <v>590000</v>
      </c>
      <c r="Q108" s="19" t="str">
        <f t="shared" ca="1" si="124"/>
        <v/>
      </c>
      <c r="R108" s="19" t="str">
        <f t="shared" ca="1" si="125"/>
        <v xml:space="preserve"> </v>
      </c>
      <c r="S108" s="20"/>
    </row>
    <row r="109" spans="2:19" x14ac:dyDescent="0.2">
      <c r="B109" s="13" t="s">
        <v>240</v>
      </c>
      <c r="C109" s="40">
        <v>303502504</v>
      </c>
      <c r="D109" s="14"/>
      <c r="E109" s="14"/>
      <c r="F109" s="15" t="s">
        <v>524</v>
      </c>
      <c r="G109" s="15"/>
      <c r="H109" s="15" t="s">
        <v>508</v>
      </c>
      <c r="I109" s="15"/>
      <c r="J109" s="16">
        <v>44946</v>
      </c>
      <c r="K109" s="16">
        <f t="shared" si="120"/>
        <v>44976</v>
      </c>
      <c r="L109" s="17">
        <v>50949700</v>
      </c>
      <c r="M109" s="45">
        <f t="shared" ca="1" si="121"/>
        <v>126</v>
      </c>
      <c r="N109" s="18" t="str">
        <f t="shared" ca="1" si="119"/>
        <v>Муддати тугаган</v>
      </c>
      <c r="O109" s="19">
        <f t="shared" ca="1" si="122"/>
        <v>50949700</v>
      </c>
      <c r="P109" s="19" t="str">
        <f t="shared" ca="1" si="123"/>
        <v/>
      </c>
      <c r="Q109" s="19" t="str">
        <f t="shared" ca="1" si="124"/>
        <v/>
      </c>
      <c r="R109" s="19">
        <f t="shared" ca="1" si="125"/>
        <v>50949700</v>
      </c>
      <c r="S109" s="20"/>
    </row>
    <row r="110" spans="2:19" x14ac:dyDescent="0.2">
      <c r="B110" s="13" t="s">
        <v>240</v>
      </c>
      <c r="C110" s="40">
        <v>303502504</v>
      </c>
      <c r="D110" s="14"/>
      <c r="E110" s="14"/>
      <c r="F110" s="15" t="s">
        <v>524</v>
      </c>
      <c r="G110" s="15"/>
      <c r="H110" s="15" t="s">
        <v>508</v>
      </c>
      <c r="I110" s="15"/>
      <c r="J110" s="16">
        <v>45019</v>
      </c>
      <c r="K110" s="16">
        <f t="shared" si="120"/>
        <v>45049</v>
      </c>
      <c r="L110" s="17">
        <v>29650000</v>
      </c>
      <c r="M110" s="45">
        <f t="shared" ca="1" si="121"/>
        <v>53</v>
      </c>
      <c r="N110" s="18" t="str">
        <f t="shared" ca="1" si="119"/>
        <v>Муддати тугаган</v>
      </c>
      <c r="O110" s="19">
        <f t="shared" ca="1" si="122"/>
        <v>29650000</v>
      </c>
      <c r="P110" s="19">
        <f t="shared" ca="1" si="123"/>
        <v>29650000</v>
      </c>
      <c r="Q110" s="19" t="str">
        <f t="shared" ca="1" si="124"/>
        <v/>
      </c>
      <c r="R110" s="19" t="str">
        <f t="shared" ca="1" si="125"/>
        <v xml:space="preserve"> </v>
      </c>
      <c r="S110" s="20"/>
    </row>
    <row r="111" spans="2:19" x14ac:dyDescent="0.2">
      <c r="B111" s="13" t="s">
        <v>240</v>
      </c>
      <c r="C111" s="40">
        <v>303502504</v>
      </c>
      <c r="D111" s="14"/>
      <c r="E111" s="14"/>
      <c r="F111" s="15" t="s">
        <v>524</v>
      </c>
      <c r="G111" s="15"/>
      <c r="H111" s="15" t="s">
        <v>508</v>
      </c>
      <c r="I111" s="15"/>
      <c r="J111" s="16">
        <v>45033</v>
      </c>
      <c r="K111" s="16">
        <f t="shared" si="120"/>
        <v>45063</v>
      </c>
      <c r="L111" s="17">
        <v>23160000</v>
      </c>
      <c r="M111" s="45">
        <f t="shared" ca="1" si="121"/>
        <v>39</v>
      </c>
      <c r="N111" s="18" t="str">
        <f t="shared" ca="1" si="119"/>
        <v>Муддати тугаган</v>
      </c>
      <c r="O111" s="19">
        <f t="shared" ca="1" si="122"/>
        <v>23160000</v>
      </c>
      <c r="P111" s="19">
        <f t="shared" ca="1" si="123"/>
        <v>23160000</v>
      </c>
      <c r="Q111" s="19" t="str">
        <f t="shared" ca="1" si="124"/>
        <v/>
      </c>
      <c r="R111" s="19" t="str">
        <f t="shared" ca="1" si="125"/>
        <v xml:space="preserve"> </v>
      </c>
      <c r="S111" s="20"/>
    </row>
    <row r="112" spans="2:19" x14ac:dyDescent="0.2">
      <c r="B112" s="13" t="s">
        <v>240</v>
      </c>
      <c r="C112" s="40">
        <v>303502504</v>
      </c>
      <c r="D112" s="14"/>
      <c r="E112" s="14"/>
      <c r="F112" s="15" t="s">
        <v>63</v>
      </c>
      <c r="G112" s="15"/>
      <c r="H112" s="15" t="s">
        <v>520</v>
      </c>
      <c r="I112" s="15"/>
      <c r="J112" s="16">
        <v>44880</v>
      </c>
      <c r="K112" s="16">
        <f t="shared" si="120"/>
        <v>44910</v>
      </c>
      <c r="L112" s="17">
        <v>44876800</v>
      </c>
      <c r="M112" s="45">
        <f t="shared" ca="1" si="121"/>
        <v>192</v>
      </c>
      <c r="N112" s="18" t="str">
        <f t="shared" ca="1" si="119"/>
        <v>Муддати тугаган</v>
      </c>
      <c r="O112" s="19">
        <f t="shared" ca="1" si="122"/>
        <v>44876800</v>
      </c>
      <c r="P112" s="19" t="str">
        <f t="shared" ca="1" si="123"/>
        <v/>
      </c>
      <c r="Q112" s="19" t="str">
        <f t="shared" ca="1" si="124"/>
        <v/>
      </c>
      <c r="R112" s="19">
        <f t="shared" ca="1" si="125"/>
        <v>44876800</v>
      </c>
      <c r="S112" s="20"/>
    </row>
    <row r="113" spans="2:19" x14ac:dyDescent="0.2">
      <c r="B113" s="13" t="s">
        <v>240</v>
      </c>
      <c r="C113" s="40">
        <v>303502504</v>
      </c>
      <c r="D113" s="14"/>
      <c r="E113" s="14"/>
      <c r="F113" s="15" t="s">
        <v>63</v>
      </c>
      <c r="G113" s="15"/>
      <c r="H113" s="15" t="s">
        <v>520</v>
      </c>
      <c r="I113" s="15"/>
      <c r="J113" s="16">
        <v>44880</v>
      </c>
      <c r="K113" s="16">
        <f t="shared" si="120"/>
        <v>44910</v>
      </c>
      <c r="L113" s="17">
        <v>30984400</v>
      </c>
      <c r="M113" s="45">
        <f t="shared" ca="1" si="121"/>
        <v>192</v>
      </c>
      <c r="N113" s="18" t="str">
        <f t="shared" ca="1" si="119"/>
        <v>Муддати тугаган</v>
      </c>
      <c r="O113" s="19">
        <f t="shared" ca="1" si="122"/>
        <v>30984400</v>
      </c>
      <c r="P113" s="19" t="str">
        <f t="shared" ca="1" si="123"/>
        <v/>
      </c>
      <c r="Q113" s="19" t="str">
        <f t="shared" ca="1" si="124"/>
        <v/>
      </c>
      <c r="R113" s="19">
        <f t="shared" ca="1" si="125"/>
        <v>30984400</v>
      </c>
      <c r="S113" s="20"/>
    </row>
    <row r="114" spans="2:19" x14ac:dyDescent="0.2">
      <c r="B114" s="13" t="s">
        <v>240</v>
      </c>
      <c r="C114" s="40">
        <v>303502504</v>
      </c>
      <c r="D114" s="14"/>
      <c r="E114" s="14"/>
      <c r="F114" s="15" t="s">
        <v>63</v>
      </c>
      <c r="G114" s="15"/>
      <c r="H114" s="15" t="s">
        <v>520</v>
      </c>
      <c r="I114" s="15"/>
      <c r="J114" s="16">
        <v>44909</v>
      </c>
      <c r="K114" s="16">
        <f t="shared" si="120"/>
        <v>44939</v>
      </c>
      <c r="L114" s="17">
        <v>37750930</v>
      </c>
      <c r="M114" s="45">
        <f t="shared" ca="1" si="121"/>
        <v>163</v>
      </c>
      <c r="N114" s="18" t="str">
        <f t="shared" ca="1" si="119"/>
        <v>Муддати тугаган</v>
      </c>
      <c r="O114" s="19">
        <f t="shared" ca="1" si="122"/>
        <v>37750930</v>
      </c>
      <c r="P114" s="19" t="str">
        <f t="shared" ca="1" si="123"/>
        <v/>
      </c>
      <c r="Q114" s="19" t="str">
        <f t="shared" ca="1" si="124"/>
        <v/>
      </c>
      <c r="R114" s="19">
        <f t="shared" ca="1" si="125"/>
        <v>37750930</v>
      </c>
      <c r="S114" s="20"/>
    </row>
    <row r="115" spans="2:19" x14ac:dyDescent="0.2">
      <c r="B115" s="13" t="s">
        <v>240</v>
      </c>
      <c r="C115" s="40">
        <v>303502504</v>
      </c>
      <c r="D115" s="14"/>
      <c r="E115" s="14"/>
      <c r="F115" s="15" t="s">
        <v>63</v>
      </c>
      <c r="G115" s="15"/>
      <c r="H115" s="15" t="s">
        <v>520</v>
      </c>
      <c r="I115" s="15"/>
      <c r="J115" s="16">
        <v>44937</v>
      </c>
      <c r="K115" s="16">
        <f t="shared" si="120"/>
        <v>44967</v>
      </c>
      <c r="L115" s="17">
        <v>44477320</v>
      </c>
      <c r="M115" s="45">
        <f t="shared" ca="1" si="121"/>
        <v>135</v>
      </c>
      <c r="N115" s="18" t="str">
        <f t="shared" ca="1" si="119"/>
        <v>Муддати тугаган</v>
      </c>
      <c r="O115" s="19">
        <f t="shared" ca="1" si="122"/>
        <v>44477320</v>
      </c>
      <c r="P115" s="19" t="str">
        <f t="shared" ca="1" si="123"/>
        <v/>
      </c>
      <c r="Q115" s="19" t="str">
        <f t="shared" ca="1" si="124"/>
        <v/>
      </c>
      <c r="R115" s="19">
        <f t="shared" ca="1" si="125"/>
        <v>44477320</v>
      </c>
      <c r="S115" s="20"/>
    </row>
    <row r="116" spans="2:19" x14ac:dyDescent="0.2">
      <c r="B116" s="13" t="s">
        <v>240</v>
      </c>
      <c r="C116" s="40">
        <v>303502504</v>
      </c>
      <c r="D116" s="14"/>
      <c r="E116" s="14"/>
      <c r="F116" s="15" t="s">
        <v>63</v>
      </c>
      <c r="G116" s="15"/>
      <c r="H116" s="15" t="s">
        <v>520</v>
      </c>
      <c r="I116" s="15"/>
      <c r="J116" s="16">
        <v>45002</v>
      </c>
      <c r="K116" s="16">
        <f t="shared" si="120"/>
        <v>45032</v>
      </c>
      <c r="L116" s="17">
        <v>30325520</v>
      </c>
      <c r="M116" s="45">
        <f t="shared" ca="1" si="121"/>
        <v>70</v>
      </c>
      <c r="N116" s="18" t="str">
        <f t="shared" ca="1" si="119"/>
        <v>Муддати тугаган</v>
      </c>
      <c r="O116" s="19">
        <f t="shared" ca="1" si="122"/>
        <v>30325520</v>
      </c>
      <c r="P116" s="19" t="str">
        <f t="shared" ca="1" si="123"/>
        <v/>
      </c>
      <c r="Q116" s="19">
        <f t="shared" ca="1" si="124"/>
        <v>30325520</v>
      </c>
      <c r="R116" s="19" t="str">
        <f t="shared" ca="1" si="125"/>
        <v xml:space="preserve"> </v>
      </c>
      <c r="S116" s="20"/>
    </row>
    <row r="117" spans="2:19" x14ac:dyDescent="0.2">
      <c r="B117" s="13" t="s">
        <v>240</v>
      </c>
      <c r="C117" s="40">
        <v>303502504</v>
      </c>
      <c r="D117" s="14"/>
      <c r="E117" s="14"/>
      <c r="F117" s="15" t="s">
        <v>63</v>
      </c>
      <c r="G117" s="15"/>
      <c r="H117" s="15" t="s">
        <v>520</v>
      </c>
      <c r="I117" s="15"/>
      <c r="J117" s="16">
        <v>44832</v>
      </c>
      <c r="K117" s="16">
        <f t="shared" si="120"/>
        <v>44862</v>
      </c>
      <c r="L117" s="17">
        <v>33561150</v>
      </c>
      <c r="M117" s="45">
        <f t="shared" ca="1" si="121"/>
        <v>240</v>
      </c>
      <c r="N117" s="18" t="str">
        <f t="shared" ca="1" si="119"/>
        <v>Муддати тугаган</v>
      </c>
      <c r="O117" s="19">
        <f t="shared" ca="1" si="122"/>
        <v>33561150</v>
      </c>
      <c r="P117" s="19" t="str">
        <f t="shared" ca="1" si="123"/>
        <v/>
      </c>
      <c r="Q117" s="19" t="str">
        <f t="shared" ca="1" si="124"/>
        <v/>
      </c>
      <c r="R117" s="19">
        <f t="shared" ca="1" si="125"/>
        <v>33561150</v>
      </c>
      <c r="S117" s="20"/>
    </row>
    <row r="118" spans="2:19" x14ac:dyDescent="0.2">
      <c r="B118" s="13" t="s">
        <v>241</v>
      </c>
      <c r="C118" s="40">
        <v>306392442</v>
      </c>
      <c r="D118" s="14">
        <v>903351590</v>
      </c>
      <c r="E118" s="14"/>
      <c r="F118" s="15" t="s">
        <v>13</v>
      </c>
      <c r="G118" s="15" t="s">
        <v>126</v>
      </c>
      <c r="H118" s="15" t="s">
        <v>520</v>
      </c>
      <c r="I118" s="15" t="s">
        <v>242</v>
      </c>
      <c r="J118" s="16">
        <v>44879</v>
      </c>
      <c r="K118" s="16">
        <f t="shared" si="120"/>
        <v>44909</v>
      </c>
      <c r="L118" s="17">
        <v>350</v>
      </c>
      <c r="M118" s="45">
        <f t="shared" ca="1" si="121"/>
        <v>193</v>
      </c>
      <c r="N118" s="18" t="str">
        <f t="shared" ca="1" si="119"/>
        <v>Муддати тугаган</v>
      </c>
      <c r="O118" s="19">
        <f t="shared" ca="1" si="122"/>
        <v>350</v>
      </c>
      <c r="P118" s="19" t="str">
        <f t="shared" ca="1" si="123"/>
        <v/>
      </c>
      <c r="Q118" s="19" t="str">
        <f t="shared" ca="1" si="124"/>
        <v/>
      </c>
      <c r="R118" s="19">
        <f t="shared" ca="1" si="125"/>
        <v>350</v>
      </c>
      <c r="S118" s="20"/>
    </row>
    <row r="119" spans="2:19" x14ac:dyDescent="0.2">
      <c r="B119" s="24" t="s">
        <v>243</v>
      </c>
      <c r="C119" s="43">
        <v>307907605</v>
      </c>
      <c r="D119" s="25">
        <v>913230933</v>
      </c>
      <c r="E119" s="14"/>
      <c r="F119" s="26" t="s">
        <v>24</v>
      </c>
      <c r="G119" s="26" t="s">
        <v>24</v>
      </c>
      <c r="H119" s="26" t="s">
        <v>520</v>
      </c>
      <c r="I119" s="26" t="s">
        <v>26</v>
      </c>
      <c r="J119" s="27">
        <v>44537</v>
      </c>
      <c r="K119" s="27">
        <f t="shared" si="120"/>
        <v>44567</v>
      </c>
      <c r="L119" s="37">
        <v>5134000</v>
      </c>
      <c r="M119" s="46">
        <f t="shared" ca="1" si="121"/>
        <v>535</v>
      </c>
      <c r="N119" s="57" t="str">
        <f t="shared" ref="N119:N120" ca="1" si="126">IF(M119=0," ",IF(M119&gt;=30,"Муддати тугаган"," "))</f>
        <v>Муддати тугаган</v>
      </c>
      <c r="O119" s="29">
        <f t="shared" ca="1" si="122"/>
        <v>5134000</v>
      </c>
      <c r="P119" s="29" t="str">
        <f t="shared" ca="1" si="123"/>
        <v/>
      </c>
      <c r="Q119" s="29" t="str">
        <f t="shared" ca="1" si="124"/>
        <v/>
      </c>
      <c r="R119" s="29">
        <f t="shared" ca="1" si="125"/>
        <v>5134000</v>
      </c>
      <c r="S119" s="20"/>
    </row>
    <row r="120" spans="2:19" x14ac:dyDescent="0.2">
      <c r="B120" s="13" t="s">
        <v>246</v>
      </c>
      <c r="C120" s="40">
        <v>204919777</v>
      </c>
      <c r="D120" s="14">
        <v>936809400</v>
      </c>
      <c r="E120" s="14"/>
      <c r="F120" s="15" t="s">
        <v>64</v>
      </c>
      <c r="G120" s="15" t="s">
        <v>64</v>
      </c>
      <c r="H120" s="15" t="s">
        <v>520</v>
      </c>
      <c r="I120" s="15" t="s">
        <v>68</v>
      </c>
      <c r="J120" s="16">
        <v>44957</v>
      </c>
      <c r="K120" s="16">
        <f t="shared" ref="K120:K124" si="127">IF(J120&gt;0,J120+30," ")</f>
        <v>44987</v>
      </c>
      <c r="L120" s="17">
        <v>1946800</v>
      </c>
      <c r="M120" s="45">
        <f t="shared" ref="M120:M124" ca="1" si="128">IF(J120&gt;0,(+$B$1-J120),)</f>
        <v>115</v>
      </c>
      <c r="N120" s="18" t="str">
        <f t="shared" ca="1" si="126"/>
        <v>Муддати тугаган</v>
      </c>
      <c r="O120" s="19">
        <f t="shared" ref="O120:O124" ca="1" si="129">IF(M120&gt;=30,L120, " ")</f>
        <v>1946800</v>
      </c>
      <c r="P120" s="19" t="str">
        <f t="shared" ref="P120:P124" ca="1" si="130">IF(M120&gt;60,"",(IF(M120&gt;30,O120, "")))</f>
        <v/>
      </c>
      <c r="Q120" s="19" t="str">
        <f t="shared" ref="Q120:Q124" ca="1" si="131">IF(M120&gt;90,"",(IF(M120&gt;60,O120, "")))</f>
        <v/>
      </c>
      <c r="R120" s="19">
        <f t="shared" ref="R120:R124" ca="1" si="132">IF(M120&gt;90,L120, " ")</f>
        <v>1946800</v>
      </c>
      <c r="S120" s="20"/>
    </row>
    <row r="121" spans="2:19" x14ac:dyDescent="0.2">
      <c r="B121" s="13" t="s">
        <v>248</v>
      </c>
      <c r="C121" s="40">
        <v>307772751</v>
      </c>
      <c r="D121" s="14">
        <v>941911110</v>
      </c>
      <c r="E121" s="14"/>
      <c r="F121" s="15" t="s">
        <v>15</v>
      </c>
      <c r="G121" s="15" t="s">
        <v>249</v>
      </c>
      <c r="H121" s="15" t="s">
        <v>520</v>
      </c>
      <c r="I121" s="15" t="s">
        <v>40</v>
      </c>
      <c r="J121" s="16">
        <v>45042</v>
      </c>
      <c r="K121" s="16">
        <f t="shared" si="127"/>
        <v>45072</v>
      </c>
      <c r="L121" s="17">
        <v>1485900</v>
      </c>
      <c r="M121" s="45">
        <f t="shared" ca="1" si="128"/>
        <v>30</v>
      </c>
      <c r="N121" s="18" t="str">
        <f t="shared" ref="N121:N128" ca="1" si="133">IF(M121=0," ",IF(M121&gt;=30,"Муддати тугаган"," "))</f>
        <v>Муддати тугаган</v>
      </c>
      <c r="O121" s="19">
        <f t="shared" ca="1" si="129"/>
        <v>1485900</v>
      </c>
      <c r="P121" s="19" t="str">
        <f t="shared" ca="1" si="130"/>
        <v/>
      </c>
      <c r="Q121" s="19" t="str">
        <f t="shared" ca="1" si="131"/>
        <v/>
      </c>
      <c r="R121" s="19" t="str">
        <f t="shared" ca="1" si="132"/>
        <v xml:space="preserve"> </v>
      </c>
      <c r="S121" s="20"/>
    </row>
    <row r="122" spans="2:19" x14ac:dyDescent="0.2">
      <c r="B122" s="24" t="s">
        <v>250</v>
      </c>
      <c r="C122" s="43">
        <v>307480467</v>
      </c>
      <c r="D122" s="25">
        <v>930943494</v>
      </c>
      <c r="E122" s="14"/>
      <c r="F122" s="26" t="s">
        <v>64</v>
      </c>
      <c r="G122" s="26" t="s">
        <v>169</v>
      </c>
      <c r="H122" s="26" t="s">
        <v>520</v>
      </c>
      <c r="I122" s="26" t="s">
        <v>68</v>
      </c>
      <c r="J122" s="27">
        <v>44384</v>
      </c>
      <c r="K122" s="27">
        <f t="shared" si="127"/>
        <v>44414</v>
      </c>
      <c r="L122" s="37">
        <v>875500</v>
      </c>
      <c r="M122" s="46">
        <f t="shared" ca="1" si="128"/>
        <v>688</v>
      </c>
      <c r="N122" s="57" t="str">
        <f t="shared" ca="1" si="133"/>
        <v>Муддати тугаган</v>
      </c>
      <c r="O122" s="29">
        <f t="shared" ca="1" si="129"/>
        <v>875500</v>
      </c>
      <c r="P122" s="29" t="str">
        <f t="shared" ca="1" si="130"/>
        <v/>
      </c>
      <c r="Q122" s="29" t="str">
        <f t="shared" ca="1" si="131"/>
        <v/>
      </c>
      <c r="R122" s="29">
        <f t="shared" ca="1" si="132"/>
        <v>875500</v>
      </c>
      <c r="S122" s="20"/>
    </row>
    <row r="123" spans="2:19" x14ac:dyDescent="0.2">
      <c r="B123" s="24" t="s">
        <v>250</v>
      </c>
      <c r="C123" s="43">
        <v>307480467</v>
      </c>
      <c r="D123" s="25">
        <v>930943494</v>
      </c>
      <c r="E123" s="14"/>
      <c r="F123" s="26" t="s">
        <v>64</v>
      </c>
      <c r="G123" s="26" t="s">
        <v>169</v>
      </c>
      <c r="H123" s="26" t="s">
        <v>520</v>
      </c>
      <c r="I123" s="26" t="s">
        <v>68</v>
      </c>
      <c r="J123" s="27">
        <v>44390</v>
      </c>
      <c r="K123" s="27">
        <f t="shared" si="127"/>
        <v>44420</v>
      </c>
      <c r="L123" s="37">
        <v>989000</v>
      </c>
      <c r="M123" s="46">
        <f t="shared" ca="1" si="128"/>
        <v>682</v>
      </c>
      <c r="N123" s="57" t="str">
        <f t="shared" ca="1" si="133"/>
        <v>Муддати тугаган</v>
      </c>
      <c r="O123" s="29">
        <f t="shared" ca="1" si="129"/>
        <v>989000</v>
      </c>
      <c r="P123" s="29" t="str">
        <f t="shared" ca="1" si="130"/>
        <v/>
      </c>
      <c r="Q123" s="29" t="str">
        <f t="shared" ca="1" si="131"/>
        <v/>
      </c>
      <c r="R123" s="29">
        <f t="shared" ca="1" si="132"/>
        <v>989000</v>
      </c>
      <c r="S123" s="20"/>
    </row>
    <row r="124" spans="2:19" x14ac:dyDescent="0.2">
      <c r="B124" s="24" t="s">
        <v>250</v>
      </c>
      <c r="C124" s="43">
        <v>307480467</v>
      </c>
      <c r="D124" s="25">
        <v>930943494</v>
      </c>
      <c r="E124" s="14"/>
      <c r="F124" s="26" t="s">
        <v>64</v>
      </c>
      <c r="G124" s="26" t="s">
        <v>169</v>
      </c>
      <c r="H124" s="26" t="s">
        <v>520</v>
      </c>
      <c r="I124" s="26" t="s">
        <v>68</v>
      </c>
      <c r="J124" s="27">
        <v>44400</v>
      </c>
      <c r="K124" s="27">
        <f t="shared" si="127"/>
        <v>44430</v>
      </c>
      <c r="L124" s="37">
        <v>494000</v>
      </c>
      <c r="M124" s="46">
        <f t="shared" ca="1" si="128"/>
        <v>672</v>
      </c>
      <c r="N124" s="57" t="str">
        <f t="shared" ca="1" si="133"/>
        <v>Муддати тугаган</v>
      </c>
      <c r="O124" s="29">
        <f t="shared" ca="1" si="129"/>
        <v>494000</v>
      </c>
      <c r="P124" s="29" t="str">
        <f t="shared" ca="1" si="130"/>
        <v/>
      </c>
      <c r="Q124" s="29" t="str">
        <f t="shared" ca="1" si="131"/>
        <v/>
      </c>
      <c r="R124" s="29">
        <f t="shared" ca="1" si="132"/>
        <v>494000</v>
      </c>
      <c r="S124" s="20"/>
    </row>
    <row r="125" spans="2:19" x14ac:dyDescent="0.2">
      <c r="B125" s="13" t="s">
        <v>252</v>
      </c>
      <c r="C125" s="40">
        <v>309006450</v>
      </c>
      <c r="D125" s="14">
        <v>913514133</v>
      </c>
      <c r="E125" s="14"/>
      <c r="F125" s="15" t="s">
        <v>55</v>
      </c>
      <c r="G125" s="15" t="s">
        <v>55</v>
      </c>
      <c r="H125" s="15" t="s">
        <v>520</v>
      </c>
      <c r="I125" s="15" t="s">
        <v>59</v>
      </c>
      <c r="J125" s="16">
        <v>44890</v>
      </c>
      <c r="K125" s="16">
        <f t="shared" ref="K125:K131" si="134">IF(J125&gt;0,J125+30," ")</f>
        <v>44920</v>
      </c>
      <c r="L125" s="17">
        <v>800000</v>
      </c>
      <c r="M125" s="45">
        <f t="shared" ref="M125:M131" ca="1" si="135">IF(J125&gt;0,(+$B$1-J125),)</f>
        <v>182</v>
      </c>
      <c r="N125" s="18" t="str">
        <f t="shared" ca="1" si="133"/>
        <v>Муддати тугаган</v>
      </c>
      <c r="O125" s="19">
        <f t="shared" ref="O125:O131" ca="1" si="136">IF(M125&gt;=30,L125, " ")</f>
        <v>800000</v>
      </c>
      <c r="P125" s="19" t="str">
        <f t="shared" ref="P125:P131" ca="1" si="137">IF(M125&gt;60,"",(IF(M125&gt;30,O125, "")))</f>
        <v/>
      </c>
      <c r="Q125" s="19" t="str">
        <f t="shared" ref="Q125:Q131" ca="1" si="138">IF(M125&gt;90,"",(IF(M125&gt;60,O125, "")))</f>
        <v/>
      </c>
      <c r="R125" s="19">
        <f t="shared" ref="R125:R131" ca="1" si="139">IF(M125&gt;90,L125, " ")</f>
        <v>800000</v>
      </c>
      <c r="S125" s="20"/>
    </row>
    <row r="126" spans="2:19" x14ac:dyDescent="0.2">
      <c r="B126" s="13" t="s">
        <v>253</v>
      </c>
      <c r="C126" s="40">
        <v>307535586</v>
      </c>
      <c r="D126" s="14">
        <v>997370082</v>
      </c>
      <c r="E126" s="14"/>
      <c r="F126" s="15" t="s">
        <v>45</v>
      </c>
      <c r="G126" s="15" t="s">
        <v>96</v>
      </c>
      <c r="H126" s="15" t="s">
        <v>520</v>
      </c>
      <c r="I126" s="15" t="s">
        <v>46</v>
      </c>
      <c r="J126" s="16">
        <v>45010</v>
      </c>
      <c r="K126" s="16">
        <f t="shared" si="134"/>
        <v>45040</v>
      </c>
      <c r="L126" s="17">
        <v>684800</v>
      </c>
      <c r="M126" s="45">
        <f t="shared" ca="1" si="135"/>
        <v>62</v>
      </c>
      <c r="N126" s="18" t="str">
        <f t="shared" ca="1" si="133"/>
        <v>Муддати тугаган</v>
      </c>
      <c r="O126" s="19">
        <f t="shared" ca="1" si="136"/>
        <v>684800</v>
      </c>
      <c r="P126" s="19" t="str">
        <f t="shared" ca="1" si="137"/>
        <v/>
      </c>
      <c r="Q126" s="19">
        <f t="shared" ca="1" si="138"/>
        <v>684800</v>
      </c>
      <c r="R126" s="19" t="str">
        <f t="shared" ca="1" si="139"/>
        <v xml:space="preserve"> </v>
      </c>
      <c r="S126" s="20"/>
    </row>
    <row r="127" spans="2:19" x14ac:dyDescent="0.2">
      <c r="B127" s="13" t="s">
        <v>254</v>
      </c>
      <c r="C127" s="40">
        <v>303407233</v>
      </c>
      <c r="D127" s="14"/>
      <c r="E127" s="14"/>
      <c r="F127" s="15" t="s">
        <v>45</v>
      </c>
      <c r="G127" s="15" t="s">
        <v>96</v>
      </c>
      <c r="H127" s="15" t="s">
        <v>520</v>
      </c>
      <c r="I127" s="15" t="s">
        <v>46</v>
      </c>
      <c r="J127" s="16">
        <v>45034</v>
      </c>
      <c r="K127" s="16">
        <f t="shared" si="134"/>
        <v>45064</v>
      </c>
      <c r="L127" s="17">
        <v>816000</v>
      </c>
      <c r="M127" s="45">
        <f t="shared" ca="1" si="135"/>
        <v>38</v>
      </c>
      <c r="N127" s="18" t="str">
        <f t="shared" ca="1" si="133"/>
        <v>Муддати тугаган</v>
      </c>
      <c r="O127" s="19">
        <f t="shared" ca="1" si="136"/>
        <v>816000</v>
      </c>
      <c r="P127" s="19">
        <f t="shared" ca="1" si="137"/>
        <v>816000</v>
      </c>
      <c r="Q127" s="19" t="str">
        <f t="shared" ca="1" si="138"/>
        <v/>
      </c>
      <c r="R127" s="19" t="str">
        <f t="shared" ca="1" si="139"/>
        <v xml:space="preserve"> </v>
      </c>
      <c r="S127" s="20"/>
    </row>
    <row r="128" spans="2:19" x14ac:dyDescent="0.2">
      <c r="B128" s="13" t="s">
        <v>255</v>
      </c>
      <c r="C128" s="40">
        <v>305539756</v>
      </c>
      <c r="D128" s="14">
        <v>997919039</v>
      </c>
      <c r="E128" s="14"/>
      <c r="F128" s="15" t="s">
        <v>50</v>
      </c>
      <c r="G128" s="15" t="s">
        <v>256</v>
      </c>
      <c r="H128" s="15" t="s">
        <v>520</v>
      </c>
      <c r="I128" s="15" t="s">
        <v>52</v>
      </c>
      <c r="J128" s="16">
        <v>44956</v>
      </c>
      <c r="K128" s="16">
        <f t="shared" si="134"/>
        <v>44986</v>
      </c>
      <c r="L128" s="17">
        <v>990000</v>
      </c>
      <c r="M128" s="45">
        <f t="shared" ca="1" si="135"/>
        <v>116</v>
      </c>
      <c r="N128" s="18" t="str">
        <f t="shared" ca="1" si="133"/>
        <v>Муддати тугаган</v>
      </c>
      <c r="O128" s="19">
        <f t="shared" ca="1" si="136"/>
        <v>990000</v>
      </c>
      <c r="P128" s="19" t="str">
        <f t="shared" ca="1" si="137"/>
        <v/>
      </c>
      <c r="Q128" s="19" t="str">
        <f t="shared" ca="1" si="138"/>
        <v/>
      </c>
      <c r="R128" s="19">
        <f t="shared" ca="1" si="139"/>
        <v>990000</v>
      </c>
      <c r="S128" s="20"/>
    </row>
    <row r="129" spans="2:19" x14ac:dyDescent="0.2">
      <c r="B129" s="13" t="s">
        <v>258</v>
      </c>
      <c r="C129" s="40">
        <v>206531398</v>
      </c>
      <c r="D129" s="14">
        <v>904384825</v>
      </c>
      <c r="E129" s="14"/>
      <c r="F129" s="15" t="s">
        <v>17</v>
      </c>
      <c r="G129" s="15" t="s">
        <v>102</v>
      </c>
      <c r="H129" s="15" t="s">
        <v>520</v>
      </c>
      <c r="I129" s="15" t="s">
        <v>187</v>
      </c>
      <c r="J129" s="16">
        <v>45019</v>
      </c>
      <c r="K129" s="16">
        <f t="shared" si="134"/>
        <v>45049</v>
      </c>
      <c r="L129" s="17">
        <v>20908490</v>
      </c>
      <c r="M129" s="45">
        <f t="shared" ca="1" si="135"/>
        <v>53</v>
      </c>
      <c r="N129" s="18" t="str">
        <f t="shared" ref="N129:N132" ca="1" si="140">IF(M129=0," ",IF(M129&gt;=30,"Муддати тугаган"," "))</f>
        <v>Муддати тугаган</v>
      </c>
      <c r="O129" s="19">
        <f t="shared" ca="1" si="136"/>
        <v>20908490</v>
      </c>
      <c r="P129" s="19">
        <f t="shared" ca="1" si="137"/>
        <v>20908490</v>
      </c>
      <c r="Q129" s="19" t="str">
        <f t="shared" ca="1" si="138"/>
        <v/>
      </c>
      <c r="R129" s="19" t="str">
        <f t="shared" ca="1" si="139"/>
        <v xml:space="preserve"> </v>
      </c>
      <c r="S129" s="20"/>
    </row>
    <row r="130" spans="2:19" x14ac:dyDescent="0.2">
      <c r="B130" s="13" t="s">
        <v>259</v>
      </c>
      <c r="C130" s="40">
        <v>302050902</v>
      </c>
      <c r="D130" s="14"/>
      <c r="E130" s="14"/>
      <c r="F130" s="15" t="s">
        <v>45</v>
      </c>
      <c r="G130" s="15" t="s">
        <v>86</v>
      </c>
      <c r="H130" s="15" t="s">
        <v>520</v>
      </c>
      <c r="I130" s="15" t="s">
        <v>47</v>
      </c>
      <c r="J130" s="16">
        <v>44834</v>
      </c>
      <c r="K130" s="16">
        <f t="shared" si="134"/>
        <v>44864</v>
      </c>
      <c r="L130" s="17">
        <v>4505250</v>
      </c>
      <c r="M130" s="45">
        <f t="shared" ca="1" si="135"/>
        <v>238</v>
      </c>
      <c r="N130" s="18" t="str">
        <f t="shared" ca="1" si="140"/>
        <v>Муддати тугаган</v>
      </c>
      <c r="O130" s="19">
        <f t="shared" ca="1" si="136"/>
        <v>4505250</v>
      </c>
      <c r="P130" s="19" t="str">
        <f t="shared" ca="1" si="137"/>
        <v/>
      </c>
      <c r="Q130" s="19" t="str">
        <f t="shared" ca="1" si="138"/>
        <v/>
      </c>
      <c r="R130" s="19">
        <f t="shared" ca="1" si="139"/>
        <v>4505250</v>
      </c>
      <c r="S130" s="20"/>
    </row>
    <row r="131" spans="2:19" x14ac:dyDescent="0.2">
      <c r="B131" s="13" t="s">
        <v>261</v>
      </c>
      <c r="C131" s="40">
        <v>200206758</v>
      </c>
      <c r="D131" s="14">
        <v>907380180</v>
      </c>
      <c r="E131" s="14"/>
      <c r="F131" s="15" t="s">
        <v>17</v>
      </c>
      <c r="G131" s="15" t="s">
        <v>107</v>
      </c>
      <c r="H131" s="15" t="s">
        <v>520</v>
      </c>
      <c r="I131" s="15" t="s">
        <v>187</v>
      </c>
      <c r="J131" s="16">
        <v>45035</v>
      </c>
      <c r="K131" s="16">
        <f t="shared" si="134"/>
        <v>45065</v>
      </c>
      <c r="L131" s="17">
        <v>28252640</v>
      </c>
      <c r="M131" s="45">
        <f t="shared" ca="1" si="135"/>
        <v>37</v>
      </c>
      <c r="N131" s="18" t="str">
        <f t="shared" ca="1" si="140"/>
        <v>Муддати тугаган</v>
      </c>
      <c r="O131" s="19">
        <f t="shared" ca="1" si="136"/>
        <v>28252640</v>
      </c>
      <c r="P131" s="19">
        <f t="shared" ca="1" si="137"/>
        <v>28252640</v>
      </c>
      <c r="Q131" s="19" t="str">
        <f t="shared" ca="1" si="138"/>
        <v/>
      </c>
      <c r="R131" s="19" t="str">
        <f t="shared" ca="1" si="139"/>
        <v xml:space="preserve"> </v>
      </c>
      <c r="S131" s="20"/>
    </row>
    <row r="132" spans="2:19" x14ac:dyDescent="0.2">
      <c r="B132" s="13" t="s">
        <v>262</v>
      </c>
      <c r="C132" s="40">
        <v>303341673</v>
      </c>
      <c r="D132" s="14"/>
      <c r="E132" s="14"/>
      <c r="F132" s="15" t="s">
        <v>50</v>
      </c>
      <c r="G132" s="35" t="s">
        <v>50</v>
      </c>
      <c r="H132" s="35" t="s">
        <v>520</v>
      </c>
      <c r="I132" s="15" t="s">
        <v>51</v>
      </c>
      <c r="J132" s="16">
        <v>45042</v>
      </c>
      <c r="K132" s="16">
        <f t="shared" ref="K132:K135" si="141">IF(J132&gt;0,J132+30," ")</f>
        <v>45072</v>
      </c>
      <c r="L132" s="22">
        <v>2538000</v>
      </c>
      <c r="M132" s="45">
        <f t="shared" ref="M132:M135" ca="1" si="142">IF(J132&gt;0,(+$B$1-J132),)</f>
        <v>30</v>
      </c>
      <c r="N132" s="18" t="str">
        <f t="shared" ca="1" si="140"/>
        <v>Муддати тугаган</v>
      </c>
      <c r="O132" s="19">
        <f t="shared" ref="O132:O135" ca="1" si="143">IF(M132&gt;=30,L132, " ")</f>
        <v>2538000</v>
      </c>
      <c r="P132" s="19" t="str">
        <f t="shared" ref="P132:P135" ca="1" si="144">IF(M132&gt;60,"",(IF(M132&gt;30,O132, "")))</f>
        <v/>
      </c>
      <c r="Q132" s="19" t="str">
        <f t="shared" ref="Q132:Q135" ca="1" si="145">IF(M132&gt;90,"",(IF(M132&gt;60,O132, "")))</f>
        <v/>
      </c>
      <c r="R132" s="19" t="str">
        <f t="shared" ref="R132:R135" ca="1" si="146">IF(M132&gt;90,L132, " ")</f>
        <v xml:space="preserve"> </v>
      </c>
      <c r="S132" s="20"/>
    </row>
    <row r="133" spans="2:19" x14ac:dyDescent="0.2">
      <c r="B133" s="13" t="s">
        <v>264</v>
      </c>
      <c r="C133" s="40">
        <v>205126427</v>
      </c>
      <c r="D133" s="14">
        <v>935227697</v>
      </c>
      <c r="E133" s="14"/>
      <c r="F133" s="15" t="s">
        <v>529</v>
      </c>
      <c r="G133" s="15" t="s">
        <v>50</v>
      </c>
      <c r="H133" s="15" t="s">
        <v>508</v>
      </c>
      <c r="I133" s="15" t="s">
        <v>516</v>
      </c>
      <c r="J133" s="16">
        <v>45035</v>
      </c>
      <c r="K133" s="16">
        <f t="shared" si="141"/>
        <v>45065</v>
      </c>
      <c r="L133" s="17">
        <v>16000</v>
      </c>
      <c r="M133" s="45">
        <f t="shared" ca="1" si="142"/>
        <v>37</v>
      </c>
      <c r="N133" s="18" t="str">
        <f t="shared" ref="N133:N140" ca="1" si="147">IF(M133=0," ",IF(M133&gt;=30,"Муддати тугаган"," "))</f>
        <v>Муддати тугаган</v>
      </c>
      <c r="O133" s="19">
        <f t="shared" ca="1" si="143"/>
        <v>16000</v>
      </c>
      <c r="P133" s="19">
        <f t="shared" ca="1" si="144"/>
        <v>16000</v>
      </c>
      <c r="Q133" s="19" t="str">
        <f t="shared" ca="1" si="145"/>
        <v/>
      </c>
      <c r="R133" s="19" t="str">
        <f t="shared" ca="1" si="146"/>
        <v xml:space="preserve"> </v>
      </c>
      <c r="S133" s="20"/>
    </row>
    <row r="134" spans="2:19" x14ac:dyDescent="0.2">
      <c r="B134" s="13" t="s">
        <v>594</v>
      </c>
      <c r="C134" s="40">
        <v>306009299</v>
      </c>
      <c r="D134" s="14">
        <v>974410079</v>
      </c>
      <c r="E134" s="14"/>
      <c r="F134" s="15" t="s">
        <v>45</v>
      </c>
      <c r="G134" s="15" t="s">
        <v>115</v>
      </c>
      <c r="H134" s="15" t="s">
        <v>520</v>
      </c>
      <c r="I134" s="15" t="s">
        <v>116</v>
      </c>
      <c r="J134" s="16">
        <v>44861</v>
      </c>
      <c r="K134" s="16">
        <f t="shared" si="141"/>
        <v>44891</v>
      </c>
      <c r="L134" s="21">
        <v>2170000</v>
      </c>
      <c r="M134" s="45">
        <f t="shared" ca="1" si="142"/>
        <v>211</v>
      </c>
      <c r="N134" s="18" t="str">
        <f t="shared" ca="1" si="147"/>
        <v>Муддати тугаган</v>
      </c>
      <c r="O134" s="19">
        <f t="shared" ca="1" si="143"/>
        <v>2170000</v>
      </c>
      <c r="P134" s="19" t="str">
        <f t="shared" ca="1" si="144"/>
        <v/>
      </c>
      <c r="Q134" s="19" t="str">
        <f t="shared" ca="1" si="145"/>
        <v/>
      </c>
      <c r="R134" s="19">
        <f t="shared" ca="1" si="146"/>
        <v>2170000</v>
      </c>
      <c r="S134" s="20"/>
    </row>
    <row r="135" spans="2:19" x14ac:dyDescent="0.2">
      <c r="B135" s="13" t="s">
        <v>265</v>
      </c>
      <c r="C135" s="40">
        <v>308315029</v>
      </c>
      <c r="D135" s="14">
        <v>911260753</v>
      </c>
      <c r="E135" s="14"/>
      <c r="F135" s="15" t="s">
        <v>45</v>
      </c>
      <c r="G135" s="15" t="s">
        <v>115</v>
      </c>
      <c r="H135" s="15" t="s">
        <v>520</v>
      </c>
      <c r="I135" s="15" t="s">
        <v>116</v>
      </c>
      <c r="J135" s="16">
        <v>45041</v>
      </c>
      <c r="K135" s="16">
        <f t="shared" si="141"/>
        <v>45071</v>
      </c>
      <c r="L135" s="21">
        <v>2204000</v>
      </c>
      <c r="M135" s="45">
        <f t="shared" ca="1" si="142"/>
        <v>31</v>
      </c>
      <c r="N135" s="18" t="str">
        <f t="shared" ca="1" si="147"/>
        <v>Муддати тугаган</v>
      </c>
      <c r="O135" s="19">
        <f t="shared" ca="1" si="143"/>
        <v>2204000</v>
      </c>
      <c r="P135" s="19">
        <f t="shared" ca="1" si="144"/>
        <v>2204000</v>
      </c>
      <c r="Q135" s="19" t="str">
        <f t="shared" ca="1" si="145"/>
        <v/>
      </c>
      <c r="R135" s="19" t="str">
        <f t="shared" ca="1" si="146"/>
        <v xml:space="preserve"> </v>
      </c>
      <c r="S135" s="20"/>
    </row>
    <row r="136" spans="2:19" x14ac:dyDescent="0.2">
      <c r="B136" s="13" t="s">
        <v>290</v>
      </c>
      <c r="C136" s="40">
        <v>303045202</v>
      </c>
      <c r="D136" s="34">
        <v>904443844</v>
      </c>
      <c r="E136" s="14"/>
      <c r="F136" s="15" t="s">
        <v>13</v>
      </c>
      <c r="G136" s="15" t="s">
        <v>151</v>
      </c>
      <c r="H136" s="15" t="s">
        <v>520</v>
      </c>
      <c r="I136" s="15" t="s">
        <v>122</v>
      </c>
      <c r="J136" s="16">
        <v>44999</v>
      </c>
      <c r="K136" s="16">
        <f t="shared" ref="K136:K143" si="148">IF(J136&gt;0,J136+30," ")</f>
        <v>45029</v>
      </c>
      <c r="L136" s="17">
        <v>233400</v>
      </c>
      <c r="M136" s="45">
        <f t="shared" ref="M136:M143" ca="1" si="149">IF(J136&gt;0,(+$B$1-J136),)</f>
        <v>73</v>
      </c>
      <c r="N136" s="18" t="str">
        <f t="shared" ca="1" si="147"/>
        <v>Муддати тугаган</v>
      </c>
      <c r="O136" s="19">
        <f t="shared" ref="O136:O143" ca="1" si="150">IF(M136&gt;=30,L136, " ")</f>
        <v>233400</v>
      </c>
      <c r="P136" s="19" t="str">
        <f t="shared" ref="P136:P143" ca="1" si="151">IF(M136&gt;60,"",(IF(M136&gt;30,O136, "")))</f>
        <v/>
      </c>
      <c r="Q136" s="19">
        <f t="shared" ref="Q136:Q143" ca="1" si="152">IF(M136&gt;90,"",(IF(M136&gt;60,O136, "")))</f>
        <v>233400</v>
      </c>
      <c r="R136" s="19" t="str">
        <f t="shared" ref="R136:R143" ca="1" si="153">IF(M136&gt;90,L136, " ")</f>
        <v xml:space="preserve"> </v>
      </c>
      <c r="S136" s="20"/>
    </row>
    <row r="137" spans="2:19" x14ac:dyDescent="0.2">
      <c r="B137" s="13" t="s">
        <v>266</v>
      </c>
      <c r="C137" s="40">
        <v>308052981</v>
      </c>
      <c r="D137" s="14">
        <v>916251100</v>
      </c>
      <c r="E137" s="14"/>
      <c r="F137" s="15" t="s">
        <v>15</v>
      </c>
      <c r="G137" s="15" t="s">
        <v>156</v>
      </c>
      <c r="H137" s="15" t="s">
        <v>520</v>
      </c>
      <c r="I137" s="15" t="s">
        <v>16</v>
      </c>
      <c r="J137" s="16">
        <v>44973</v>
      </c>
      <c r="K137" s="16">
        <f t="shared" si="148"/>
        <v>45003</v>
      </c>
      <c r="L137" s="21">
        <v>656100</v>
      </c>
      <c r="M137" s="45">
        <f t="shared" ca="1" si="149"/>
        <v>99</v>
      </c>
      <c r="N137" s="18" t="str">
        <f t="shared" ca="1" si="147"/>
        <v>Муддати тугаган</v>
      </c>
      <c r="O137" s="19">
        <f t="shared" ca="1" si="150"/>
        <v>656100</v>
      </c>
      <c r="P137" s="19" t="str">
        <f t="shared" ca="1" si="151"/>
        <v/>
      </c>
      <c r="Q137" s="19" t="str">
        <f t="shared" ca="1" si="152"/>
        <v/>
      </c>
      <c r="R137" s="19">
        <f t="shared" ca="1" si="153"/>
        <v>656100</v>
      </c>
      <c r="S137" s="20"/>
    </row>
    <row r="138" spans="2:19" x14ac:dyDescent="0.2">
      <c r="B138" s="13" t="s">
        <v>143</v>
      </c>
      <c r="C138" s="40">
        <v>303910265</v>
      </c>
      <c r="D138" s="14">
        <v>992844166</v>
      </c>
      <c r="E138" s="14"/>
      <c r="F138" s="15" t="s">
        <v>75</v>
      </c>
      <c r="G138" s="15" t="s">
        <v>144</v>
      </c>
      <c r="H138" s="15" t="s">
        <v>520</v>
      </c>
      <c r="I138" s="15" t="s">
        <v>76</v>
      </c>
      <c r="J138" s="16">
        <v>44949</v>
      </c>
      <c r="K138" s="16">
        <f t="shared" si="148"/>
        <v>44979</v>
      </c>
      <c r="L138" s="17">
        <v>2133000</v>
      </c>
      <c r="M138" s="45">
        <f t="shared" ca="1" si="149"/>
        <v>123</v>
      </c>
      <c r="N138" s="18" t="str">
        <f t="shared" ca="1" si="147"/>
        <v>Муддати тугаган</v>
      </c>
      <c r="O138" s="19">
        <f t="shared" ca="1" si="150"/>
        <v>2133000</v>
      </c>
      <c r="P138" s="19" t="str">
        <f t="shared" ca="1" si="151"/>
        <v/>
      </c>
      <c r="Q138" s="19" t="str">
        <f t="shared" ca="1" si="152"/>
        <v/>
      </c>
      <c r="R138" s="19">
        <f t="shared" ca="1" si="153"/>
        <v>2133000</v>
      </c>
      <c r="S138" s="20"/>
    </row>
    <row r="139" spans="2:19" x14ac:dyDescent="0.2">
      <c r="B139" s="13" t="s">
        <v>143</v>
      </c>
      <c r="C139" s="40">
        <v>303910265</v>
      </c>
      <c r="D139" s="14">
        <v>992844166</v>
      </c>
      <c r="E139" s="14"/>
      <c r="F139" s="15" t="s">
        <v>75</v>
      </c>
      <c r="G139" s="15" t="s">
        <v>144</v>
      </c>
      <c r="H139" s="15" t="s">
        <v>520</v>
      </c>
      <c r="I139" s="15" t="s">
        <v>76</v>
      </c>
      <c r="J139" s="16">
        <v>44957</v>
      </c>
      <c r="K139" s="16">
        <f t="shared" si="148"/>
        <v>44987</v>
      </c>
      <c r="L139" s="17">
        <v>890000</v>
      </c>
      <c r="M139" s="45">
        <f t="shared" ca="1" si="149"/>
        <v>115</v>
      </c>
      <c r="N139" s="18" t="str">
        <f t="shared" ca="1" si="147"/>
        <v>Муддати тугаган</v>
      </c>
      <c r="O139" s="19">
        <f t="shared" ca="1" si="150"/>
        <v>890000</v>
      </c>
      <c r="P139" s="19" t="str">
        <f t="shared" ca="1" si="151"/>
        <v/>
      </c>
      <c r="Q139" s="19" t="str">
        <f t="shared" ca="1" si="152"/>
        <v/>
      </c>
      <c r="R139" s="19">
        <f t="shared" ca="1" si="153"/>
        <v>890000</v>
      </c>
      <c r="S139" s="20"/>
    </row>
    <row r="140" spans="2:19" x14ac:dyDescent="0.2">
      <c r="B140" s="13" t="s">
        <v>267</v>
      </c>
      <c r="C140" s="40">
        <v>303298480</v>
      </c>
      <c r="D140" s="14">
        <v>914139911</v>
      </c>
      <c r="E140" s="14"/>
      <c r="F140" s="15" t="s">
        <v>13</v>
      </c>
      <c r="G140" s="15" t="s">
        <v>133</v>
      </c>
      <c r="H140" s="15" t="s">
        <v>520</v>
      </c>
      <c r="I140" s="15" t="s">
        <v>134</v>
      </c>
      <c r="J140" s="16">
        <v>44946</v>
      </c>
      <c r="K140" s="16">
        <f t="shared" si="148"/>
        <v>44976</v>
      </c>
      <c r="L140" s="17">
        <v>7125000</v>
      </c>
      <c r="M140" s="45">
        <f t="shared" ca="1" si="149"/>
        <v>126</v>
      </c>
      <c r="N140" s="18" t="str">
        <f t="shared" ca="1" si="147"/>
        <v>Муддати тугаган</v>
      </c>
      <c r="O140" s="19">
        <f t="shared" ca="1" si="150"/>
        <v>7125000</v>
      </c>
      <c r="P140" s="19" t="str">
        <f t="shared" ca="1" si="151"/>
        <v/>
      </c>
      <c r="Q140" s="19" t="str">
        <f t="shared" ca="1" si="152"/>
        <v/>
      </c>
      <c r="R140" s="19">
        <f t="shared" ca="1" si="153"/>
        <v>7125000</v>
      </c>
      <c r="S140" s="20"/>
    </row>
    <row r="141" spans="2:19" x14ac:dyDescent="0.2">
      <c r="B141" s="13" t="s">
        <v>269</v>
      </c>
      <c r="C141" s="40">
        <v>302090212</v>
      </c>
      <c r="D141" s="14">
        <v>905819271</v>
      </c>
      <c r="E141" s="14"/>
      <c r="F141" s="15" t="s">
        <v>24</v>
      </c>
      <c r="G141" s="15" t="s">
        <v>94</v>
      </c>
      <c r="H141" s="15" t="s">
        <v>520</v>
      </c>
      <c r="I141" s="15" t="s">
        <v>85</v>
      </c>
      <c r="J141" s="16">
        <v>44973</v>
      </c>
      <c r="K141" s="16">
        <f t="shared" si="148"/>
        <v>45003</v>
      </c>
      <c r="L141" s="17">
        <v>250500</v>
      </c>
      <c r="M141" s="45">
        <f t="shared" ca="1" si="149"/>
        <v>99</v>
      </c>
      <c r="N141" s="18" t="str">
        <f t="shared" ref="N141:N145" ca="1" si="154">IF(M141=0," ",IF(M141&gt;=30,"Муддати тугаган"," "))</f>
        <v>Муддати тугаган</v>
      </c>
      <c r="O141" s="19">
        <f t="shared" ca="1" si="150"/>
        <v>250500</v>
      </c>
      <c r="P141" s="19" t="str">
        <f t="shared" ca="1" si="151"/>
        <v/>
      </c>
      <c r="Q141" s="19" t="str">
        <f t="shared" ca="1" si="152"/>
        <v/>
      </c>
      <c r="R141" s="19">
        <f t="shared" ca="1" si="153"/>
        <v>250500</v>
      </c>
      <c r="S141" s="20"/>
    </row>
    <row r="142" spans="2:19" x14ac:dyDescent="0.2">
      <c r="B142" s="13" t="s">
        <v>270</v>
      </c>
      <c r="C142" s="40">
        <v>206759833</v>
      </c>
      <c r="D142" s="14">
        <v>903707600</v>
      </c>
      <c r="E142" s="14"/>
      <c r="F142" s="15" t="s">
        <v>13</v>
      </c>
      <c r="G142" s="15" t="s">
        <v>233</v>
      </c>
      <c r="H142" s="15" t="s">
        <v>520</v>
      </c>
      <c r="I142" s="15" t="s">
        <v>561</v>
      </c>
      <c r="J142" s="16">
        <v>45030</v>
      </c>
      <c r="K142" s="16">
        <f t="shared" si="148"/>
        <v>45060</v>
      </c>
      <c r="L142" s="17">
        <v>1916500</v>
      </c>
      <c r="M142" s="45">
        <f t="shared" ca="1" si="149"/>
        <v>42</v>
      </c>
      <c r="N142" s="18" t="str">
        <f t="shared" ca="1" si="154"/>
        <v>Муддати тугаган</v>
      </c>
      <c r="O142" s="19">
        <f t="shared" ca="1" si="150"/>
        <v>1916500</v>
      </c>
      <c r="P142" s="19">
        <f t="shared" ca="1" si="151"/>
        <v>1916500</v>
      </c>
      <c r="Q142" s="19" t="str">
        <f t="shared" ca="1" si="152"/>
        <v/>
      </c>
      <c r="R142" s="19" t="str">
        <f t="shared" ca="1" si="153"/>
        <v xml:space="preserve"> </v>
      </c>
      <c r="S142" s="20"/>
    </row>
    <row r="143" spans="2:19" x14ac:dyDescent="0.2">
      <c r="B143" s="13" t="s">
        <v>271</v>
      </c>
      <c r="C143" s="40">
        <v>301259507</v>
      </c>
      <c r="D143" s="14">
        <v>972757788</v>
      </c>
      <c r="E143" s="14"/>
      <c r="F143" s="15" t="s">
        <v>75</v>
      </c>
      <c r="G143" s="15" t="s">
        <v>144</v>
      </c>
      <c r="H143" s="15" t="s">
        <v>520</v>
      </c>
      <c r="I143" s="15" t="s">
        <v>76</v>
      </c>
      <c r="J143" s="16">
        <v>44957</v>
      </c>
      <c r="K143" s="16">
        <f t="shared" si="148"/>
        <v>44987</v>
      </c>
      <c r="L143" s="17">
        <v>7032800</v>
      </c>
      <c r="M143" s="45">
        <f t="shared" ca="1" si="149"/>
        <v>115</v>
      </c>
      <c r="N143" s="18" t="str">
        <f t="shared" ca="1" si="154"/>
        <v>Муддати тугаган</v>
      </c>
      <c r="O143" s="19">
        <f t="shared" ca="1" si="150"/>
        <v>7032800</v>
      </c>
      <c r="P143" s="19" t="str">
        <f t="shared" ca="1" si="151"/>
        <v/>
      </c>
      <c r="Q143" s="19" t="str">
        <f t="shared" ca="1" si="152"/>
        <v/>
      </c>
      <c r="R143" s="19">
        <f t="shared" ca="1" si="153"/>
        <v>7032800</v>
      </c>
      <c r="S143" s="20"/>
    </row>
    <row r="144" spans="2:19" x14ac:dyDescent="0.2">
      <c r="B144" s="36" t="s">
        <v>559</v>
      </c>
      <c r="C144" s="40">
        <v>310068985</v>
      </c>
      <c r="D144" s="14">
        <v>933210645</v>
      </c>
      <c r="E144" s="14"/>
      <c r="F144" s="15" t="s">
        <v>75</v>
      </c>
      <c r="G144" s="15" t="s">
        <v>144</v>
      </c>
      <c r="H144" s="15" t="s">
        <v>520</v>
      </c>
      <c r="I144" s="15" t="s">
        <v>76</v>
      </c>
      <c r="J144" s="16">
        <v>44987</v>
      </c>
      <c r="K144" s="16">
        <f t="shared" ref="K144:K153" si="155">IF(J144&gt;0,J144+30," ")</f>
        <v>45017</v>
      </c>
      <c r="L144" s="17">
        <v>3518000</v>
      </c>
      <c r="M144" s="45">
        <f t="shared" ref="M144:M153" ca="1" si="156">IF(J144&gt;0,(+$B$1-J144),)</f>
        <v>85</v>
      </c>
      <c r="N144" s="18" t="str">
        <f t="shared" ca="1" si="154"/>
        <v>Муддати тугаган</v>
      </c>
      <c r="O144" s="19">
        <f t="shared" ref="O144:O153" ca="1" si="157">IF(M144&gt;=30,L144, " ")</f>
        <v>3518000</v>
      </c>
      <c r="P144" s="19" t="str">
        <f t="shared" ref="P144:P153" ca="1" si="158">IF(M144&gt;60,"",(IF(M144&gt;30,O144, "")))</f>
        <v/>
      </c>
      <c r="Q144" s="19">
        <f t="shared" ref="Q144:Q153" ca="1" si="159">IF(M144&gt;90,"",(IF(M144&gt;60,O144, "")))</f>
        <v>3518000</v>
      </c>
      <c r="R144" s="19" t="str">
        <f t="shared" ref="R144:R153" ca="1" si="160">IF(M144&gt;90,L144, " ")</f>
        <v xml:space="preserve"> </v>
      </c>
      <c r="S144" s="20"/>
    </row>
    <row r="145" spans="2:19" x14ac:dyDescent="0.2">
      <c r="B145" s="24" t="s">
        <v>273</v>
      </c>
      <c r="C145" s="43">
        <v>305584765</v>
      </c>
      <c r="D145" s="25">
        <v>914890201</v>
      </c>
      <c r="E145" s="25"/>
      <c r="F145" s="26" t="s">
        <v>30</v>
      </c>
      <c r="G145" s="26" t="s">
        <v>274</v>
      </c>
      <c r="H145" s="26" t="s">
        <v>520</v>
      </c>
      <c r="I145" s="26" t="s">
        <v>32</v>
      </c>
      <c r="J145" s="27">
        <v>44224</v>
      </c>
      <c r="K145" s="27">
        <f t="shared" si="155"/>
        <v>44254</v>
      </c>
      <c r="L145" s="37">
        <v>82800</v>
      </c>
      <c r="M145" s="46">
        <f t="shared" ca="1" si="156"/>
        <v>848</v>
      </c>
      <c r="N145" s="57" t="str">
        <f t="shared" ca="1" si="154"/>
        <v>Муддати тугаган</v>
      </c>
      <c r="O145" s="29">
        <f t="shared" ca="1" si="157"/>
        <v>82800</v>
      </c>
      <c r="P145" s="29" t="str">
        <f t="shared" ca="1" si="158"/>
        <v/>
      </c>
      <c r="Q145" s="29" t="str">
        <f t="shared" ca="1" si="159"/>
        <v/>
      </c>
      <c r="R145" s="29">
        <f t="shared" ca="1" si="160"/>
        <v>82800</v>
      </c>
      <c r="S145" s="76"/>
    </row>
    <row r="146" spans="2:19" x14ac:dyDescent="0.2">
      <c r="B146" s="13" t="s">
        <v>595</v>
      </c>
      <c r="C146" s="40">
        <v>303469900</v>
      </c>
      <c r="D146" s="14"/>
      <c r="E146" s="14"/>
      <c r="F146" s="15" t="s">
        <v>50</v>
      </c>
      <c r="G146" s="15" t="s">
        <v>50</v>
      </c>
      <c r="H146" s="15" t="s">
        <v>520</v>
      </c>
      <c r="I146" s="15" t="s">
        <v>67</v>
      </c>
      <c r="J146" s="16">
        <v>45001</v>
      </c>
      <c r="K146" s="16">
        <f t="shared" si="155"/>
        <v>45031</v>
      </c>
      <c r="L146" s="17">
        <v>2068000</v>
      </c>
      <c r="M146" s="45">
        <f t="shared" ca="1" si="156"/>
        <v>71</v>
      </c>
      <c r="N146" s="18" t="str">
        <f t="shared" ref="N146:N157" ca="1" si="161">IF(M146=0," ",IF(M146&gt;=30,"Муддати тугаган"," "))</f>
        <v>Муддати тугаган</v>
      </c>
      <c r="O146" s="19">
        <f t="shared" ca="1" si="157"/>
        <v>2068000</v>
      </c>
      <c r="P146" s="19" t="str">
        <f t="shared" ca="1" si="158"/>
        <v/>
      </c>
      <c r="Q146" s="19">
        <f t="shared" ca="1" si="159"/>
        <v>2068000</v>
      </c>
      <c r="R146" s="19" t="str">
        <f t="shared" ca="1" si="160"/>
        <v xml:space="preserve"> </v>
      </c>
      <c r="S146" s="20"/>
    </row>
    <row r="147" spans="2:19" x14ac:dyDescent="0.2">
      <c r="B147" s="13" t="s">
        <v>275</v>
      </c>
      <c r="C147" s="40">
        <v>309521183</v>
      </c>
      <c r="D147" s="14">
        <v>911017909</v>
      </c>
      <c r="E147" s="14"/>
      <c r="F147" s="15" t="s">
        <v>75</v>
      </c>
      <c r="G147" s="15" t="s">
        <v>75</v>
      </c>
      <c r="H147" s="15" t="s">
        <v>520</v>
      </c>
      <c r="I147" s="15" t="s">
        <v>77</v>
      </c>
      <c r="J147" s="16">
        <v>44966</v>
      </c>
      <c r="K147" s="16">
        <f t="shared" si="155"/>
        <v>44996</v>
      </c>
      <c r="L147" s="17">
        <v>1265000</v>
      </c>
      <c r="M147" s="45">
        <f t="shared" ca="1" si="156"/>
        <v>106</v>
      </c>
      <c r="N147" s="18" t="str">
        <f t="shared" ca="1" si="161"/>
        <v>Муддати тугаган</v>
      </c>
      <c r="O147" s="19">
        <f t="shared" ca="1" si="157"/>
        <v>1265000</v>
      </c>
      <c r="P147" s="19" t="str">
        <f t="shared" ca="1" si="158"/>
        <v/>
      </c>
      <c r="Q147" s="19" t="str">
        <f t="shared" ca="1" si="159"/>
        <v/>
      </c>
      <c r="R147" s="19">
        <f t="shared" ca="1" si="160"/>
        <v>1265000</v>
      </c>
      <c r="S147" s="20"/>
    </row>
    <row r="148" spans="2:19" x14ac:dyDescent="0.2">
      <c r="B148" s="13" t="s">
        <v>276</v>
      </c>
      <c r="C148" s="40">
        <v>302772050</v>
      </c>
      <c r="D148" s="14"/>
      <c r="E148" s="14"/>
      <c r="F148" s="15" t="s">
        <v>50</v>
      </c>
      <c r="G148" s="15" t="s">
        <v>272</v>
      </c>
      <c r="H148" s="15" t="s">
        <v>520</v>
      </c>
      <c r="I148" s="15" t="s">
        <v>51</v>
      </c>
      <c r="J148" s="16">
        <v>45029</v>
      </c>
      <c r="K148" s="16">
        <f t="shared" si="155"/>
        <v>45059</v>
      </c>
      <c r="L148" s="21">
        <v>4005480</v>
      </c>
      <c r="M148" s="45">
        <f t="shared" ca="1" si="156"/>
        <v>43</v>
      </c>
      <c r="N148" s="18" t="str">
        <f t="shared" ca="1" si="161"/>
        <v>Муддати тугаган</v>
      </c>
      <c r="O148" s="19">
        <f t="shared" ca="1" si="157"/>
        <v>4005480</v>
      </c>
      <c r="P148" s="19">
        <f t="shared" ca="1" si="158"/>
        <v>4005480</v>
      </c>
      <c r="Q148" s="19" t="str">
        <f t="shared" ca="1" si="159"/>
        <v/>
      </c>
      <c r="R148" s="19" t="str">
        <f t="shared" ca="1" si="160"/>
        <v xml:space="preserve"> </v>
      </c>
      <c r="S148" s="20"/>
    </row>
    <row r="149" spans="2:19" x14ac:dyDescent="0.2">
      <c r="B149" s="13" t="s">
        <v>277</v>
      </c>
      <c r="C149" s="40">
        <v>307481323</v>
      </c>
      <c r="D149" s="14">
        <v>932907757</v>
      </c>
      <c r="E149" s="14"/>
      <c r="F149" s="15" t="s">
        <v>15</v>
      </c>
      <c r="G149" s="15" t="s">
        <v>111</v>
      </c>
      <c r="H149" s="15" t="s">
        <v>520</v>
      </c>
      <c r="I149" s="15" t="s">
        <v>16</v>
      </c>
      <c r="J149" s="16">
        <v>44874</v>
      </c>
      <c r="K149" s="16">
        <f t="shared" si="155"/>
        <v>44904</v>
      </c>
      <c r="L149" s="17">
        <v>9127300</v>
      </c>
      <c r="M149" s="45">
        <f t="shared" ca="1" si="156"/>
        <v>198</v>
      </c>
      <c r="N149" s="18" t="str">
        <f t="shared" ca="1" si="161"/>
        <v>Муддати тугаган</v>
      </c>
      <c r="O149" s="19">
        <f t="shared" ca="1" si="157"/>
        <v>9127300</v>
      </c>
      <c r="P149" s="19" t="str">
        <f t="shared" ca="1" si="158"/>
        <v/>
      </c>
      <c r="Q149" s="19" t="str">
        <f t="shared" ca="1" si="159"/>
        <v/>
      </c>
      <c r="R149" s="19">
        <f t="shared" ca="1" si="160"/>
        <v>9127300</v>
      </c>
      <c r="S149" s="20"/>
    </row>
    <row r="150" spans="2:19" x14ac:dyDescent="0.2">
      <c r="B150" s="13" t="s">
        <v>277</v>
      </c>
      <c r="C150" s="40">
        <v>307481323</v>
      </c>
      <c r="D150" s="14">
        <v>932907757</v>
      </c>
      <c r="E150" s="14"/>
      <c r="F150" s="15" t="s">
        <v>15</v>
      </c>
      <c r="G150" s="15" t="s">
        <v>111</v>
      </c>
      <c r="H150" s="15" t="s">
        <v>520</v>
      </c>
      <c r="I150" s="15" t="s">
        <v>16</v>
      </c>
      <c r="J150" s="16">
        <v>44909</v>
      </c>
      <c r="K150" s="16">
        <f t="shared" si="155"/>
        <v>44939</v>
      </c>
      <c r="L150" s="17">
        <v>6883000</v>
      </c>
      <c r="M150" s="45">
        <f t="shared" ca="1" si="156"/>
        <v>163</v>
      </c>
      <c r="N150" s="18" t="str">
        <f t="shared" ca="1" si="161"/>
        <v>Муддати тугаган</v>
      </c>
      <c r="O150" s="19">
        <f t="shared" ca="1" si="157"/>
        <v>6883000</v>
      </c>
      <c r="P150" s="19" t="str">
        <f t="shared" ca="1" si="158"/>
        <v/>
      </c>
      <c r="Q150" s="19" t="str">
        <f t="shared" ca="1" si="159"/>
        <v/>
      </c>
      <c r="R150" s="19">
        <f t="shared" ca="1" si="160"/>
        <v>6883000</v>
      </c>
      <c r="S150" s="20"/>
    </row>
    <row r="151" spans="2:19" x14ac:dyDescent="0.2">
      <c r="B151" s="13" t="s">
        <v>278</v>
      </c>
      <c r="C151" s="40">
        <v>307998232</v>
      </c>
      <c r="D151" s="14"/>
      <c r="E151" s="14"/>
      <c r="F151" s="15" t="s">
        <v>30</v>
      </c>
      <c r="G151" s="15" t="s">
        <v>30</v>
      </c>
      <c r="H151" s="15" t="s">
        <v>520</v>
      </c>
      <c r="I151" s="15" t="s">
        <v>34</v>
      </c>
      <c r="J151" s="16">
        <v>45015</v>
      </c>
      <c r="K151" s="16">
        <f t="shared" si="155"/>
        <v>45045</v>
      </c>
      <c r="L151" s="17">
        <v>12445400</v>
      </c>
      <c r="M151" s="45">
        <f t="shared" ca="1" si="156"/>
        <v>57</v>
      </c>
      <c r="N151" s="18" t="str">
        <f t="shared" ca="1" si="161"/>
        <v>Муддати тугаган</v>
      </c>
      <c r="O151" s="19">
        <f t="shared" ca="1" si="157"/>
        <v>12445400</v>
      </c>
      <c r="P151" s="19">
        <f t="shared" ca="1" si="158"/>
        <v>12445400</v>
      </c>
      <c r="Q151" s="19" t="str">
        <f t="shared" ca="1" si="159"/>
        <v/>
      </c>
      <c r="R151" s="19" t="str">
        <f t="shared" ca="1" si="160"/>
        <v xml:space="preserve"> </v>
      </c>
      <c r="S151" s="20"/>
    </row>
    <row r="152" spans="2:19" x14ac:dyDescent="0.2">
      <c r="B152" s="13" t="s">
        <v>506</v>
      </c>
      <c r="C152" s="40">
        <v>303303592</v>
      </c>
      <c r="D152" s="14"/>
      <c r="E152" s="14"/>
      <c r="F152" s="15" t="s">
        <v>526</v>
      </c>
      <c r="G152" s="15" t="s">
        <v>507</v>
      </c>
      <c r="H152" s="15" t="s">
        <v>508</v>
      </c>
      <c r="I152" s="15"/>
      <c r="J152" s="16">
        <v>44996</v>
      </c>
      <c r="K152" s="16">
        <f t="shared" si="155"/>
        <v>45026</v>
      </c>
      <c r="L152" s="17">
        <v>117540</v>
      </c>
      <c r="M152" s="45">
        <f t="shared" ca="1" si="156"/>
        <v>76</v>
      </c>
      <c r="N152" s="18" t="str">
        <f t="shared" ca="1" si="161"/>
        <v>Муддати тугаган</v>
      </c>
      <c r="O152" s="19">
        <f t="shared" ca="1" si="157"/>
        <v>117540</v>
      </c>
      <c r="P152" s="19" t="str">
        <f t="shared" ca="1" si="158"/>
        <v/>
      </c>
      <c r="Q152" s="19">
        <f t="shared" ca="1" si="159"/>
        <v>117540</v>
      </c>
      <c r="R152" s="19" t="str">
        <f t="shared" ca="1" si="160"/>
        <v xml:space="preserve"> </v>
      </c>
      <c r="S152" s="20"/>
    </row>
    <row r="153" spans="2:19" x14ac:dyDescent="0.2">
      <c r="B153" s="13" t="s">
        <v>279</v>
      </c>
      <c r="C153" s="40">
        <v>305077493</v>
      </c>
      <c r="D153" s="14">
        <v>972770096</v>
      </c>
      <c r="E153" s="14"/>
      <c r="F153" s="15" t="s">
        <v>75</v>
      </c>
      <c r="G153" s="15" t="s">
        <v>75</v>
      </c>
      <c r="H153" s="15" t="s">
        <v>520</v>
      </c>
      <c r="I153" s="15" t="s">
        <v>77</v>
      </c>
      <c r="J153" s="16">
        <v>45041</v>
      </c>
      <c r="K153" s="16">
        <f t="shared" si="155"/>
        <v>45071</v>
      </c>
      <c r="L153" s="17">
        <v>7209000</v>
      </c>
      <c r="M153" s="45">
        <f t="shared" ca="1" si="156"/>
        <v>31</v>
      </c>
      <c r="N153" s="18" t="str">
        <f t="shared" ca="1" si="161"/>
        <v>Муддати тугаган</v>
      </c>
      <c r="O153" s="19">
        <f t="shared" ca="1" si="157"/>
        <v>7209000</v>
      </c>
      <c r="P153" s="19">
        <f t="shared" ca="1" si="158"/>
        <v>7209000</v>
      </c>
      <c r="Q153" s="19" t="str">
        <f t="shared" ca="1" si="159"/>
        <v/>
      </c>
      <c r="R153" s="19" t="str">
        <f t="shared" ca="1" si="160"/>
        <v xml:space="preserve"> </v>
      </c>
      <c r="S153" s="20"/>
    </row>
    <row r="154" spans="2:19" x14ac:dyDescent="0.2">
      <c r="B154" s="13" t="s">
        <v>280</v>
      </c>
      <c r="C154" s="40">
        <v>305154438</v>
      </c>
      <c r="D154" s="14">
        <v>992580003</v>
      </c>
      <c r="E154" s="14"/>
      <c r="F154" s="15" t="s">
        <v>50</v>
      </c>
      <c r="G154" s="15" t="s">
        <v>272</v>
      </c>
      <c r="H154" s="15" t="s">
        <v>520</v>
      </c>
      <c r="I154" s="15" t="s">
        <v>51</v>
      </c>
      <c r="J154" s="16">
        <v>45042</v>
      </c>
      <c r="K154" s="16">
        <f t="shared" ref="K154:K158" si="162">IF(J154&gt;0,J154+30," ")</f>
        <v>45072</v>
      </c>
      <c r="L154" s="17">
        <v>2360000</v>
      </c>
      <c r="M154" s="45">
        <f t="shared" ref="M154:M158" ca="1" si="163">IF(J154&gt;0,(+$B$1-J154),)</f>
        <v>30</v>
      </c>
      <c r="N154" s="18" t="str">
        <f t="shared" ca="1" si="161"/>
        <v>Муддати тугаган</v>
      </c>
      <c r="O154" s="19">
        <f t="shared" ref="O154:O158" ca="1" si="164">IF(M154&gt;=30,L154, " ")</f>
        <v>2360000</v>
      </c>
      <c r="P154" s="19" t="str">
        <f t="shared" ref="P154:P158" ca="1" si="165">IF(M154&gt;60,"",(IF(M154&gt;30,O154, "")))</f>
        <v/>
      </c>
      <c r="Q154" s="19" t="str">
        <f t="shared" ref="Q154:Q158" ca="1" si="166">IF(M154&gt;90,"",(IF(M154&gt;60,O154, "")))</f>
        <v/>
      </c>
      <c r="R154" s="19" t="str">
        <f t="shared" ref="R154:R158" ca="1" si="167">IF(M154&gt;90,L154, " ")</f>
        <v xml:space="preserve"> </v>
      </c>
      <c r="S154" s="20"/>
    </row>
    <row r="155" spans="2:19" x14ac:dyDescent="0.2">
      <c r="B155" s="13" t="s">
        <v>603</v>
      </c>
      <c r="C155" s="40">
        <v>307618079</v>
      </c>
      <c r="D155" s="14">
        <v>995472161</v>
      </c>
      <c r="E155" s="14"/>
      <c r="F155" s="15" t="s">
        <v>50</v>
      </c>
      <c r="G155" s="15" t="s">
        <v>256</v>
      </c>
      <c r="H155" s="15" t="s">
        <v>520</v>
      </c>
      <c r="I155" s="15" t="s">
        <v>52</v>
      </c>
      <c r="J155" s="16">
        <v>45030</v>
      </c>
      <c r="K155" s="16">
        <f t="shared" si="162"/>
        <v>45060</v>
      </c>
      <c r="L155" s="17">
        <v>54000</v>
      </c>
      <c r="M155" s="45">
        <f t="shared" ca="1" si="163"/>
        <v>42</v>
      </c>
      <c r="N155" s="18" t="str">
        <f t="shared" ca="1" si="161"/>
        <v>Муддати тугаган</v>
      </c>
      <c r="O155" s="19">
        <f t="shared" ca="1" si="164"/>
        <v>54000</v>
      </c>
      <c r="P155" s="19">
        <f t="shared" ca="1" si="165"/>
        <v>54000</v>
      </c>
      <c r="Q155" s="19" t="str">
        <f t="shared" ca="1" si="166"/>
        <v/>
      </c>
      <c r="R155" s="19" t="str">
        <f t="shared" ca="1" si="167"/>
        <v xml:space="preserve"> </v>
      </c>
      <c r="S155" s="20"/>
    </row>
    <row r="156" spans="2:19" x14ac:dyDescent="0.2">
      <c r="B156" s="24" t="s">
        <v>284</v>
      </c>
      <c r="C156" s="43">
        <v>302441984</v>
      </c>
      <c r="D156" s="25">
        <v>944894001</v>
      </c>
      <c r="E156" s="14"/>
      <c r="F156" s="26" t="s">
        <v>64</v>
      </c>
      <c r="G156" s="26" t="s">
        <v>169</v>
      </c>
      <c r="H156" s="26" t="s">
        <v>520</v>
      </c>
      <c r="I156" s="26" t="s">
        <v>65</v>
      </c>
      <c r="J156" s="27">
        <v>44278</v>
      </c>
      <c r="K156" s="27">
        <f t="shared" si="162"/>
        <v>44308</v>
      </c>
      <c r="L156" s="37">
        <v>24598000</v>
      </c>
      <c r="M156" s="46">
        <f t="shared" ca="1" si="163"/>
        <v>794</v>
      </c>
      <c r="N156" s="57" t="str">
        <f t="shared" ca="1" si="161"/>
        <v>Муддати тугаган</v>
      </c>
      <c r="O156" s="29">
        <f t="shared" ca="1" si="164"/>
        <v>24598000</v>
      </c>
      <c r="P156" s="29" t="str">
        <f t="shared" ca="1" si="165"/>
        <v/>
      </c>
      <c r="Q156" s="29" t="str">
        <f t="shared" ca="1" si="166"/>
        <v/>
      </c>
      <c r="R156" s="29">
        <f t="shared" ca="1" si="167"/>
        <v>24598000</v>
      </c>
      <c r="S156" s="20"/>
    </row>
    <row r="157" spans="2:19" x14ac:dyDescent="0.2">
      <c r="B157" s="13" t="s">
        <v>285</v>
      </c>
      <c r="C157" s="40">
        <v>301933285</v>
      </c>
      <c r="D157" s="14">
        <v>933000074</v>
      </c>
      <c r="E157" s="14"/>
      <c r="F157" s="15" t="s">
        <v>15</v>
      </c>
      <c r="G157" s="15" t="s">
        <v>15</v>
      </c>
      <c r="H157" s="15" t="s">
        <v>520</v>
      </c>
      <c r="I157" s="15" t="s">
        <v>41</v>
      </c>
      <c r="J157" s="16">
        <v>45019</v>
      </c>
      <c r="K157" s="16">
        <f t="shared" si="162"/>
        <v>45049</v>
      </c>
      <c r="L157" s="17">
        <v>294100</v>
      </c>
      <c r="M157" s="45">
        <f t="shared" ca="1" si="163"/>
        <v>53</v>
      </c>
      <c r="N157" s="18" t="str">
        <f t="shared" ca="1" si="161"/>
        <v>Муддати тугаган</v>
      </c>
      <c r="O157" s="19">
        <f t="shared" ca="1" si="164"/>
        <v>294100</v>
      </c>
      <c r="P157" s="19">
        <f t="shared" ca="1" si="165"/>
        <v>294100</v>
      </c>
      <c r="Q157" s="19" t="str">
        <f t="shared" ca="1" si="166"/>
        <v/>
      </c>
      <c r="R157" s="19" t="str">
        <f t="shared" ca="1" si="167"/>
        <v xml:space="preserve"> </v>
      </c>
      <c r="S157" s="20"/>
    </row>
    <row r="158" spans="2:19" x14ac:dyDescent="0.2">
      <c r="B158" s="24" t="s">
        <v>287</v>
      </c>
      <c r="C158" s="43">
        <v>304979598</v>
      </c>
      <c r="D158" s="25">
        <v>933000074</v>
      </c>
      <c r="E158" s="25"/>
      <c r="F158" s="26" t="s">
        <v>15</v>
      </c>
      <c r="G158" s="26" t="s">
        <v>15</v>
      </c>
      <c r="H158" s="26" t="s">
        <v>520</v>
      </c>
      <c r="I158" s="26" t="s">
        <v>42</v>
      </c>
      <c r="J158" s="27">
        <v>44488</v>
      </c>
      <c r="K158" s="27">
        <f t="shared" si="162"/>
        <v>44518</v>
      </c>
      <c r="L158" s="28">
        <v>530000</v>
      </c>
      <c r="M158" s="46">
        <f t="shared" ca="1" si="163"/>
        <v>584</v>
      </c>
      <c r="N158" s="57" t="str">
        <f t="shared" ref="N158:N160" ca="1" si="168">IF(M158=0," ",IF(M158&gt;=30,"Муддати тугаган"," "))</f>
        <v>Муддати тугаган</v>
      </c>
      <c r="O158" s="29">
        <f t="shared" ca="1" si="164"/>
        <v>530000</v>
      </c>
      <c r="P158" s="29" t="str">
        <f t="shared" ca="1" si="165"/>
        <v/>
      </c>
      <c r="Q158" s="29" t="str">
        <f t="shared" ca="1" si="166"/>
        <v/>
      </c>
      <c r="R158" s="29">
        <f t="shared" ca="1" si="167"/>
        <v>530000</v>
      </c>
      <c r="S158" s="76"/>
    </row>
    <row r="159" spans="2:19" x14ac:dyDescent="0.2">
      <c r="B159" s="13" t="s">
        <v>287</v>
      </c>
      <c r="C159" s="40">
        <v>304979598</v>
      </c>
      <c r="D159" s="14">
        <v>933000074</v>
      </c>
      <c r="E159" s="14"/>
      <c r="F159" s="15" t="s">
        <v>75</v>
      </c>
      <c r="G159" s="15" t="s">
        <v>144</v>
      </c>
      <c r="H159" s="15" t="s">
        <v>520</v>
      </c>
      <c r="I159" s="15" t="s">
        <v>76</v>
      </c>
      <c r="J159" s="16">
        <v>44953</v>
      </c>
      <c r="K159" s="16">
        <f t="shared" ref="K159:K161" si="169">IF(J159&gt;0,J159+30," ")</f>
        <v>44983</v>
      </c>
      <c r="L159" s="21">
        <v>900000</v>
      </c>
      <c r="M159" s="45">
        <f t="shared" ref="M159:M161" ca="1" si="170">IF(J159&gt;0,(+$B$1-J159),)</f>
        <v>119</v>
      </c>
      <c r="N159" s="18" t="str">
        <f t="shared" ca="1" si="168"/>
        <v>Муддати тугаган</v>
      </c>
      <c r="O159" s="19">
        <f t="shared" ref="O159:O161" ca="1" si="171">IF(M159&gt;=30,L159, " ")</f>
        <v>900000</v>
      </c>
      <c r="P159" s="19" t="str">
        <f t="shared" ref="P159:P161" ca="1" si="172">IF(M159&gt;60,"",(IF(M159&gt;30,O159, "")))</f>
        <v/>
      </c>
      <c r="Q159" s="19" t="str">
        <f t="shared" ref="Q159:Q161" ca="1" si="173">IF(M159&gt;90,"",(IF(M159&gt;60,O159, "")))</f>
        <v/>
      </c>
      <c r="R159" s="19">
        <f t="shared" ref="R159:R161" ca="1" si="174">IF(M159&gt;90,L159, " ")</f>
        <v>900000</v>
      </c>
      <c r="S159" s="20"/>
    </row>
    <row r="160" spans="2:19" x14ac:dyDescent="0.2">
      <c r="B160" s="13" t="s">
        <v>288</v>
      </c>
      <c r="C160" s="40">
        <v>300855074</v>
      </c>
      <c r="D160" s="14"/>
      <c r="E160" s="14"/>
      <c r="F160" s="15" t="s">
        <v>24</v>
      </c>
      <c r="G160" s="15" t="s">
        <v>82</v>
      </c>
      <c r="H160" s="15" t="s">
        <v>520</v>
      </c>
      <c r="I160" s="15" t="s">
        <v>85</v>
      </c>
      <c r="J160" s="16">
        <v>44959</v>
      </c>
      <c r="K160" s="16">
        <f t="shared" si="169"/>
        <v>44989</v>
      </c>
      <c r="L160" s="17">
        <v>1041900</v>
      </c>
      <c r="M160" s="45">
        <f t="shared" ca="1" si="170"/>
        <v>113</v>
      </c>
      <c r="N160" s="18" t="str">
        <f t="shared" ca="1" si="168"/>
        <v>Муддати тугаган</v>
      </c>
      <c r="O160" s="19">
        <f t="shared" ca="1" si="171"/>
        <v>1041900</v>
      </c>
      <c r="P160" s="19" t="str">
        <f t="shared" ca="1" si="172"/>
        <v/>
      </c>
      <c r="Q160" s="19" t="str">
        <f t="shared" ca="1" si="173"/>
        <v/>
      </c>
      <c r="R160" s="19">
        <f t="shared" ca="1" si="174"/>
        <v>1041900</v>
      </c>
      <c r="S160" s="20"/>
    </row>
    <row r="161" spans="2:19" x14ac:dyDescent="0.2">
      <c r="B161" s="13" t="s">
        <v>550</v>
      </c>
      <c r="C161" s="40">
        <v>308503277</v>
      </c>
      <c r="D161" s="14">
        <v>939257227</v>
      </c>
      <c r="E161" s="14"/>
      <c r="F161" s="15" t="s">
        <v>45</v>
      </c>
      <c r="G161" s="15" t="s">
        <v>104</v>
      </c>
      <c r="H161" s="15" t="s">
        <v>520</v>
      </c>
      <c r="I161" s="15" t="s">
        <v>551</v>
      </c>
      <c r="J161" s="16">
        <v>44972</v>
      </c>
      <c r="K161" s="16">
        <f t="shared" si="169"/>
        <v>45002</v>
      </c>
      <c r="L161" s="17">
        <v>1614550</v>
      </c>
      <c r="M161" s="45">
        <f t="shared" ca="1" si="170"/>
        <v>100</v>
      </c>
      <c r="N161" s="18" t="str">
        <f t="shared" ref="N161:N166" ca="1" si="175">IF(M161=0," ",IF(M161&gt;=30,"Муддати тугаган"," "))</f>
        <v>Муддати тугаган</v>
      </c>
      <c r="O161" s="19">
        <f t="shared" ca="1" si="171"/>
        <v>1614550</v>
      </c>
      <c r="P161" s="19" t="str">
        <f t="shared" ca="1" si="172"/>
        <v/>
      </c>
      <c r="Q161" s="19" t="str">
        <f t="shared" ca="1" si="173"/>
        <v/>
      </c>
      <c r="R161" s="19">
        <f t="shared" ca="1" si="174"/>
        <v>1614550</v>
      </c>
      <c r="S161" s="20"/>
    </row>
    <row r="162" spans="2:19" x14ac:dyDescent="0.2">
      <c r="B162" s="13" t="s">
        <v>292</v>
      </c>
      <c r="C162" s="40">
        <v>308935658</v>
      </c>
      <c r="D162" s="38">
        <v>979534262</v>
      </c>
      <c r="E162" s="14"/>
      <c r="F162" s="15" t="s">
        <v>45</v>
      </c>
      <c r="G162" s="15" t="s">
        <v>115</v>
      </c>
      <c r="H162" s="15" t="s">
        <v>520</v>
      </c>
      <c r="I162" s="15" t="s">
        <v>116</v>
      </c>
      <c r="J162" s="16">
        <v>44951</v>
      </c>
      <c r="K162" s="16">
        <f t="shared" ref="K162:K171" si="176">IF(J162&gt;0,J162+30," ")</f>
        <v>44981</v>
      </c>
      <c r="L162" s="17">
        <v>324000</v>
      </c>
      <c r="M162" s="45">
        <f t="shared" ref="M162:M171" ca="1" si="177">IF(J162&gt;0,(+$B$1-J162),)</f>
        <v>121</v>
      </c>
      <c r="N162" s="18" t="str">
        <f t="shared" ca="1" si="175"/>
        <v>Муддати тугаган</v>
      </c>
      <c r="O162" s="19">
        <f t="shared" ref="O162:O171" ca="1" si="178">IF(M162&gt;=30,L162, " ")</f>
        <v>324000</v>
      </c>
      <c r="P162" s="19" t="str">
        <f t="shared" ref="P162:P171" ca="1" si="179">IF(M162&gt;60,"",(IF(M162&gt;30,O162, "")))</f>
        <v/>
      </c>
      <c r="Q162" s="19" t="str">
        <f t="shared" ref="Q162:Q171" ca="1" si="180">IF(M162&gt;90,"",(IF(M162&gt;60,O162, "")))</f>
        <v/>
      </c>
      <c r="R162" s="19">
        <f t="shared" ref="R162:R171" ca="1" si="181">IF(M162&gt;90,L162, " ")</f>
        <v>324000</v>
      </c>
      <c r="S162" s="20"/>
    </row>
    <row r="163" spans="2:19" x14ac:dyDescent="0.2">
      <c r="B163" s="13" t="s">
        <v>574</v>
      </c>
      <c r="C163" s="40">
        <v>310162782</v>
      </c>
      <c r="D163" s="14">
        <v>972504340</v>
      </c>
      <c r="E163" s="14"/>
      <c r="F163" s="15" t="s">
        <v>55</v>
      </c>
      <c r="G163" s="15" t="s">
        <v>308</v>
      </c>
      <c r="H163" s="15" t="s">
        <v>520</v>
      </c>
      <c r="I163" s="15" t="s">
        <v>614</v>
      </c>
      <c r="J163" s="16">
        <v>45028</v>
      </c>
      <c r="K163" s="16">
        <f t="shared" si="176"/>
        <v>45058</v>
      </c>
      <c r="L163" s="32">
        <v>4059725</v>
      </c>
      <c r="M163" s="45">
        <f t="shared" ca="1" si="177"/>
        <v>44</v>
      </c>
      <c r="N163" s="18" t="str">
        <f t="shared" ca="1" si="175"/>
        <v>Муддати тугаган</v>
      </c>
      <c r="O163" s="19">
        <f t="shared" ca="1" si="178"/>
        <v>4059725</v>
      </c>
      <c r="P163" s="19">
        <f t="shared" ca="1" si="179"/>
        <v>4059725</v>
      </c>
      <c r="Q163" s="19" t="str">
        <f t="shared" ca="1" si="180"/>
        <v/>
      </c>
      <c r="R163" s="19" t="str">
        <f t="shared" ca="1" si="181"/>
        <v xml:space="preserve"> </v>
      </c>
      <c r="S163" s="20"/>
    </row>
    <row r="164" spans="2:19" x14ac:dyDescent="0.2">
      <c r="B164" s="13" t="s">
        <v>244</v>
      </c>
      <c r="C164" s="40">
        <v>305159819</v>
      </c>
      <c r="D164" s="14">
        <v>945669438</v>
      </c>
      <c r="E164" s="14"/>
      <c r="F164" s="15" t="s">
        <v>24</v>
      </c>
      <c r="G164" s="15" t="s">
        <v>103</v>
      </c>
      <c r="H164" s="15" t="s">
        <v>520</v>
      </c>
      <c r="I164" s="15" t="s">
        <v>245</v>
      </c>
      <c r="J164" s="16">
        <v>44921</v>
      </c>
      <c r="K164" s="16">
        <f t="shared" si="176"/>
        <v>44951</v>
      </c>
      <c r="L164" s="17">
        <v>647000</v>
      </c>
      <c r="M164" s="45">
        <f t="shared" ca="1" si="177"/>
        <v>151</v>
      </c>
      <c r="N164" s="18" t="str">
        <f t="shared" ca="1" si="175"/>
        <v>Муддати тугаган</v>
      </c>
      <c r="O164" s="19">
        <f t="shared" ca="1" si="178"/>
        <v>647000</v>
      </c>
      <c r="P164" s="19" t="str">
        <f t="shared" ca="1" si="179"/>
        <v/>
      </c>
      <c r="Q164" s="19" t="str">
        <f t="shared" ca="1" si="180"/>
        <v/>
      </c>
      <c r="R164" s="19">
        <f t="shared" ca="1" si="181"/>
        <v>647000</v>
      </c>
      <c r="S164" s="20"/>
    </row>
    <row r="165" spans="2:19" x14ac:dyDescent="0.2">
      <c r="B165" s="13" t="s">
        <v>244</v>
      </c>
      <c r="C165" s="40">
        <v>305159819</v>
      </c>
      <c r="D165" s="14">
        <v>945669438</v>
      </c>
      <c r="E165" s="14"/>
      <c r="F165" s="15" t="s">
        <v>24</v>
      </c>
      <c r="G165" s="15" t="s">
        <v>103</v>
      </c>
      <c r="H165" s="15" t="s">
        <v>520</v>
      </c>
      <c r="I165" s="15" t="s">
        <v>245</v>
      </c>
      <c r="J165" s="16">
        <v>44921</v>
      </c>
      <c r="K165" s="16">
        <f t="shared" si="176"/>
        <v>44951</v>
      </c>
      <c r="L165" s="17">
        <v>13827000</v>
      </c>
      <c r="M165" s="45">
        <f t="shared" ca="1" si="177"/>
        <v>151</v>
      </c>
      <c r="N165" s="18" t="str">
        <f t="shared" ca="1" si="175"/>
        <v>Муддати тугаган</v>
      </c>
      <c r="O165" s="19">
        <f t="shared" ca="1" si="178"/>
        <v>13827000</v>
      </c>
      <c r="P165" s="19" t="str">
        <f t="shared" ca="1" si="179"/>
        <v/>
      </c>
      <c r="Q165" s="19" t="str">
        <f t="shared" ca="1" si="180"/>
        <v/>
      </c>
      <c r="R165" s="19">
        <f t="shared" ca="1" si="181"/>
        <v>13827000</v>
      </c>
      <c r="S165" s="20"/>
    </row>
    <row r="166" spans="2:19" x14ac:dyDescent="0.2">
      <c r="B166" s="13" t="s">
        <v>244</v>
      </c>
      <c r="C166" s="40">
        <v>305159819</v>
      </c>
      <c r="D166" s="14">
        <v>945669438</v>
      </c>
      <c r="E166" s="14"/>
      <c r="F166" s="15" t="s">
        <v>24</v>
      </c>
      <c r="G166" s="15" t="s">
        <v>103</v>
      </c>
      <c r="H166" s="15" t="s">
        <v>520</v>
      </c>
      <c r="I166" s="15" t="s">
        <v>245</v>
      </c>
      <c r="J166" s="16">
        <v>44923</v>
      </c>
      <c r="K166" s="16">
        <f t="shared" si="176"/>
        <v>44953</v>
      </c>
      <c r="L166" s="17">
        <v>1363000</v>
      </c>
      <c r="M166" s="45">
        <f t="shared" ca="1" si="177"/>
        <v>149</v>
      </c>
      <c r="N166" s="18" t="str">
        <f t="shared" ca="1" si="175"/>
        <v>Муддати тугаган</v>
      </c>
      <c r="O166" s="19">
        <f t="shared" ca="1" si="178"/>
        <v>1363000</v>
      </c>
      <c r="P166" s="19" t="str">
        <f t="shared" ca="1" si="179"/>
        <v/>
      </c>
      <c r="Q166" s="19" t="str">
        <f t="shared" ca="1" si="180"/>
        <v/>
      </c>
      <c r="R166" s="19">
        <f t="shared" ca="1" si="181"/>
        <v>1363000</v>
      </c>
      <c r="S166" s="20"/>
    </row>
    <row r="167" spans="2:19" x14ac:dyDescent="0.2">
      <c r="B167" s="13" t="s">
        <v>293</v>
      </c>
      <c r="C167" s="40">
        <v>206739414</v>
      </c>
      <c r="D167" s="14">
        <v>736121444</v>
      </c>
      <c r="E167" s="14"/>
      <c r="F167" s="15" t="s">
        <v>24</v>
      </c>
      <c r="G167" s="15" t="s">
        <v>82</v>
      </c>
      <c r="H167" s="15" t="s">
        <v>520</v>
      </c>
      <c r="I167" s="15" t="s">
        <v>83</v>
      </c>
      <c r="J167" s="16">
        <v>45015</v>
      </c>
      <c r="K167" s="16">
        <f t="shared" si="176"/>
        <v>45045</v>
      </c>
      <c r="L167" s="17">
        <v>3151850</v>
      </c>
      <c r="M167" s="45">
        <f t="shared" ca="1" si="177"/>
        <v>57</v>
      </c>
      <c r="N167" s="18" t="str">
        <f t="shared" ref="N167:N174" ca="1" si="182">IF(M167=0," ",IF(M167&gt;=30,"Муддати тугаган"," "))</f>
        <v>Муддати тугаган</v>
      </c>
      <c r="O167" s="19">
        <f t="shared" ca="1" si="178"/>
        <v>3151850</v>
      </c>
      <c r="P167" s="19">
        <f t="shared" ca="1" si="179"/>
        <v>3151850</v>
      </c>
      <c r="Q167" s="19" t="str">
        <f t="shared" ca="1" si="180"/>
        <v/>
      </c>
      <c r="R167" s="19" t="str">
        <f t="shared" ca="1" si="181"/>
        <v xml:space="preserve"> </v>
      </c>
      <c r="S167" s="20"/>
    </row>
    <row r="168" spans="2:19" x14ac:dyDescent="0.2">
      <c r="B168" s="13" t="s">
        <v>294</v>
      </c>
      <c r="C168" s="40">
        <v>303339136</v>
      </c>
      <c r="D168" s="14">
        <v>943578888</v>
      </c>
      <c r="E168" s="14"/>
      <c r="F168" s="15" t="s">
        <v>75</v>
      </c>
      <c r="G168" s="15" t="s">
        <v>144</v>
      </c>
      <c r="H168" s="15" t="s">
        <v>520</v>
      </c>
      <c r="I168" s="15" t="s">
        <v>76</v>
      </c>
      <c r="J168" s="16">
        <v>45033</v>
      </c>
      <c r="K168" s="16">
        <f t="shared" si="176"/>
        <v>45063</v>
      </c>
      <c r="L168" s="21">
        <v>2185800</v>
      </c>
      <c r="M168" s="45">
        <f t="shared" ca="1" si="177"/>
        <v>39</v>
      </c>
      <c r="N168" s="18" t="str">
        <f t="shared" ca="1" si="182"/>
        <v>Муддати тугаган</v>
      </c>
      <c r="O168" s="19">
        <f t="shared" ca="1" si="178"/>
        <v>2185800</v>
      </c>
      <c r="P168" s="19">
        <f t="shared" ca="1" si="179"/>
        <v>2185800</v>
      </c>
      <c r="Q168" s="19" t="str">
        <f t="shared" ca="1" si="180"/>
        <v/>
      </c>
      <c r="R168" s="19" t="str">
        <f t="shared" ca="1" si="181"/>
        <v xml:space="preserve"> </v>
      </c>
      <c r="S168" s="20"/>
    </row>
    <row r="169" spans="2:19" x14ac:dyDescent="0.2">
      <c r="B169" s="13" t="s">
        <v>294</v>
      </c>
      <c r="C169" s="40">
        <v>303339136</v>
      </c>
      <c r="D169" s="14">
        <v>943578888</v>
      </c>
      <c r="E169" s="14"/>
      <c r="F169" s="15" t="s">
        <v>75</v>
      </c>
      <c r="G169" s="15" t="s">
        <v>144</v>
      </c>
      <c r="H169" s="15" t="s">
        <v>520</v>
      </c>
      <c r="I169" s="15" t="s">
        <v>76</v>
      </c>
      <c r="J169" s="16">
        <v>44998</v>
      </c>
      <c r="K169" s="16">
        <f t="shared" si="176"/>
        <v>45028</v>
      </c>
      <c r="L169" s="17">
        <v>1509000</v>
      </c>
      <c r="M169" s="45">
        <f t="shared" ca="1" si="177"/>
        <v>74</v>
      </c>
      <c r="N169" s="18" t="str">
        <f t="shared" ca="1" si="182"/>
        <v>Муддати тугаган</v>
      </c>
      <c r="O169" s="19">
        <f t="shared" ca="1" si="178"/>
        <v>1509000</v>
      </c>
      <c r="P169" s="19" t="str">
        <f t="shared" ca="1" si="179"/>
        <v/>
      </c>
      <c r="Q169" s="19">
        <f t="shared" ca="1" si="180"/>
        <v>1509000</v>
      </c>
      <c r="R169" s="19" t="str">
        <f t="shared" ca="1" si="181"/>
        <v xml:space="preserve"> </v>
      </c>
      <c r="S169" s="20"/>
    </row>
    <row r="170" spans="2:19" x14ac:dyDescent="0.2">
      <c r="B170" s="13" t="s">
        <v>295</v>
      </c>
      <c r="C170" s="40">
        <v>308274040</v>
      </c>
      <c r="D170" s="14">
        <v>993836565</v>
      </c>
      <c r="E170" s="14"/>
      <c r="F170" s="15" t="s">
        <v>15</v>
      </c>
      <c r="G170" s="15" t="s">
        <v>190</v>
      </c>
      <c r="H170" s="15" t="s">
        <v>520</v>
      </c>
      <c r="I170" s="15" t="s">
        <v>42</v>
      </c>
      <c r="J170" s="16">
        <v>44935</v>
      </c>
      <c r="K170" s="16">
        <f t="shared" si="176"/>
        <v>44965</v>
      </c>
      <c r="L170" s="17">
        <v>1029000</v>
      </c>
      <c r="M170" s="45">
        <f t="shared" ca="1" si="177"/>
        <v>137</v>
      </c>
      <c r="N170" s="18" t="str">
        <f t="shared" ca="1" si="182"/>
        <v>Муддати тугаган</v>
      </c>
      <c r="O170" s="19">
        <f t="shared" ca="1" si="178"/>
        <v>1029000</v>
      </c>
      <c r="P170" s="19" t="str">
        <f t="shared" ca="1" si="179"/>
        <v/>
      </c>
      <c r="Q170" s="19" t="str">
        <f t="shared" ca="1" si="180"/>
        <v/>
      </c>
      <c r="R170" s="19">
        <f t="shared" ca="1" si="181"/>
        <v>1029000</v>
      </c>
      <c r="S170" s="20"/>
    </row>
    <row r="171" spans="2:19" x14ac:dyDescent="0.2">
      <c r="B171" s="13" t="s">
        <v>296</v>
      </c>
      <c r="C171" s="40">
        <v>307364340</v>
      </c>
      <c r="D171" s="14">
        <v>943630330</v>
      </c>
      <c r="E171" s="14"/>
      <c r="F171" s="15" t="s">
        <v>13</v>
      </c>
      <c r="G171" s="15" t="s">
        <v>214</v>
      </c>
      <c r="H171" s="15" t="s">
        <v>520</v>
      </c>
      <c r="I171" s="15" t="s">
        <v>215</v>
      </c>
      <c r="J171" s="16">
        <v>45020</v>
      </c>
      <c r="K171" s="16">
        <f t="shared" si="176"/>
        <v>45050</v>
      </c>
      <c r="L171" s="17">
        <v>748400</v>
      </c>
      <c r="M171" s="45">
        <f t="shared" ca="1" si="177"/>
        <v>52</v>
      </c>
      <c r="N171" s="18" t="str">
        <f t="shared" ca="1" si="182"/>
        <v>Муддати тугаган</v>
      </c>
      <c r="O171" s="19">
        <f t="shared" ca="1" si="178"/>
        <v>748400</v>
      </c>
      <c r="P171" s="19">
        <f t="shared" ca="1" si="179"/>
        <v>748400</v>
      </c>
      <c r="Q171" s="19" t="str">
        <f t="shared" ca="1" si="180"/>
        <v/>
      </c>
      <c r="R171" s="19" t="str">
        <f t="shared" ca="1" si="181"/>
        <v xml:space="preserve"> </v>
      </c>
      <c r="S171" s="20"/>
    </row>
    <row r="172" spans="2:19" x14ac:dyDescent="0.2">
      <c r="B172" s="24" t="s">
        <v>297</v>
      </c>
      <c r="C172" s="43">
        <v>307693842</v>
      </c>
      <c r="D172" s="25">
        <v>972757400</v>
      </c>
      <c r="E172" s="14"/>
      <c r="F172" s="26" t="s">
        <v>75</v>
      </c>
      <c r="G172" s="26" t="s">
        <v>144</v>
      </c>
      <c r="H172" s="26" t="s">
        <v>520</v>
      </c>
      <c r="I172" s="26" t="s">
        <v>76</v>
      </c>
      <c r="J172" s="27">
        <v>44279</v>
      </c>
      <c r="K172" s="27">
        <f t="shared" ref="K172:K177" si="183">IF(J172&gt;0,J172+30," ")</f>
        <v>44309</v>
      </c>
      <c r="L172" s="37">
        <v>69000</v>
      </c>
      <c r="M172" s="46">
        <f t="shared" ref="M172:M177" ca="1" si="184">IF(J172&gt;0,(+$B$1-J172),)</f>
        <v>793</v>
      </c>
      <c r="N172" s="57" t="str">
        <f t="shared" ca="1" si="182"/>
        <v>Муддати тугаган</v>
      </c>
      <c r="O172" s="29">
        <f t="shared" ref="O172:O177" ca="1" si="185">IF(M172&gt;=30,L172, " ")</f>
        <v>69000</v>
      </c>
      <c r="P172" s="29" t="str">
        <f t="shared" ref="P172:P177" ca="1" si="186">IF(M172&gt;60,"",(IF(M172&gt;30,O172, "")))</f>
        <v/>
      </c>
      <c r="Q172" s="29" t="str">
        <f t="shared" ref="Q172:Q177" ca="1" si="187">IF(M172&gt;90,"",(IF(M172&gt;60,O172, "")))</f>
        <v/>
      </c>
      <c r="R172" s="29">
        <f t="shared" ref="R172:R177" ca="1" si="188">IF(M172&gt;90,L172, " ")</f>
        <v>69000</v>
      </c>
      <c r="S172" s="20"/>
    </row>
    <row r="173" spans="2:19" x14ac:dyDescent="0.2">
      <c r="B173" s="13" t="s">
        <v>298</v>
      </c>
      <c r="C173" s="40">
        <v>303827859</v>
      </c>
      <c r="D173" s="14"/>
      <c r="E173" s="14"/>
      <c r="F173" s="15" t="s">
        <v>524</v>
      </c>
      <c r="G173" s="15" t="s">
        <v>64</v>
      </c>
      <c r="H173" s="15" t="s">
        <v>508</v>
      </c>
      <c r="I173" s="15"/>
      <c r="J173" s="16">
        <v>44985</v>
      </c>
      <c r="K173" s="16">
        <f t="shared" si="183"/>
        <v>45015</v>
      </c>
      <c r="L173" s="17">
        <v>4700000</v>
      </c>
      <c r="M173" s="45">
        <f t="shared" ca="1" si="184"/>
        <v>87</v>
      </c>
      <c r="N173" s="18" t="str">
        <f t="shared" ca="1" si="182"/>
        <v>Муддати тугаган</v>
      </c>
      <c r="O173" s="19">
        <f t="shared" ca="1" si="185"/>
        <v>4700000</v>
      </c>
      <c r="P173" s="19" t="str">
        <f t="shared" ca="1" si="186"/>
        <v/>
      </c>
      <c r="Q173" s="19">
        <f t="shared" ca="1" si="187"/>
        <v>4700000</v>
      </c>
      <c r="R173" s="19" t="str">
        <f t="shared" ca="1" si="188"/>
        <v xml:space="preserve"> </v>
      </c>
      <c r="S173" s="20"/>
    </row>
    <row r="174" spans="2:19" x14ac:dyDescent="0.2">
      <c r="B174" s="24" t="s">
        <v>299</v>
      </c>
      <c r="C174" s="43">
        <v>200217063</v>
      </c>
      <c r="D174" s="25">
        <v>975130990</v>
      </c>
      <c r="E174" s="14"/>
      <c r="F174" s="26" t="s">
        <v>17</v>
      </c>
      <c r="G174" s="26" t="s">
        <v>208</v>
      </c>
      <c r="H174" s="26" t="s">
        <v>520</v>
      </c>
      <c r="I174" s="26" t="s">
        <v>300</v>
      </c>
      <c r="J174" s="27">
        <v>44510</v>
      </c>
      <c r="K174" s="27">
        <f t="shared" si="183"/>
        <v>44540</v>
      </c>
      <c r="L174" s="28">
        <v>4850000</v>
      </c>
      <c r="M174" s="46">
        <f t="shared" ca="1" si="184"/>
        <v>562</v>
      </c>
      <c r="N174" s="57" t="str">
        <f t="shared" ca="1" si="182"/>
        <v>Муддати тугаган</v>
      </c>
      <c r="O174" s="29">
        <f t="shared" ca="1" si="185"/>
        <v>4850000</v>
      </c>
      <c r="P174" s="29" t="str">
        <f t="shared" ca="1" si="186"/>
        <v/>
      </c>
      <c r="Q174" s="29" t="str">
        <f t="shared" ca="1" si="187"/>
        <v/>
      </c>
      <c r="R174" s="29">
        <f t="shared" ca="1" si="188"/>
        <v>4850000</v>
      </c>
      <c r="S174" s="20"/>
    </row>
    <row r="175" spans="2:19" x14ac:dyDescent="0.2">
      <c r="B175" s="13" t="s">
        <v>301</v>
      </c>
      <c r="C175" s="40">
        <v>203328398</v>
      </c>
      <c r="D175" s="14">
        <v>990786278</v>
      </c>
      <c r="E175" s="14"/>
      <c r="F175" s="15" t="s">
        <v>64</v>
      </c>
      <c r="G175" s="15" t="s">
        <v>191</v>
      </c>
      <c r="H175" s="15" t="s">
        <v>520</v>
      </c>
      <c r="I175" s="15" t="s">
        <v>68</v>
      </c>
      <c r="J175" s="16">
        <v>44715</v>
      </c>
      <c r="K175" s="16">
        <f t="shared" si="183"/>
        <v>44745</v>
      </c>
      <c r="L175" s="17">
        <v>2117900</v>
      </c>
      <c r="M175" s="45">
        <f t="shared" ca="1" si="184"/>
        <v>357</v>
      </c>
      <c r="N175" s="18" t="str">
        <f t="shared" ref="N175:N183" ca="1" si="189">IF(M175=0," ",IF(M175&gt;=30,"Муддати тугаган"," "))</f>
        <v>Муддати тугаган</v>
      </c>
      <c r="O175" s="19">
        <f t="shared" ca="1" si="185"/>
        <v>2117900</v>
      </c>
      <c r="P175" s="19" t="str">
        <f t="shared" ca="1" si="186"/>
        <v/>
      </c>
      <c r="Q175" s="19" t="str">
        <f t="shared" ca="1" si="187"/>
        <v/>
      </c>
      <c r="R175" s="19">
        <f t="shared" ca="1" si="188"/>
        <v>2117900</v>
      </c>
      <c r="S175" s="20"/>
    </row>
    <row r="176" spans="2:19" x14ac:dyDescent="0.2">
      <c r="B176" s="13" t="s">
        <v>302</v>
      </c>
      <c r="C176" s="40">
        <v>306984100</v>
      </c>
      <c r="D176" s="14">
        <v>901663931</v>
      </c>
      <c r="E176" s="14"/>
      <c r="F176" s="15" t="s">
        <v>24</v>
      </c>
      <c r="G176" s="15" t="s">
        <v>103</v>
      </c>
      <c r="H176" s="15" t="s">
        <v>520</v>
      </c>
      <c r="I176" s="15" t="s">
        <v>26</v>
      </c>
      <c r="J176" s="16">
        <v>44980</v>
      </c>
      <c r="K176" s="16">
        <f t="shared" si="183"/>
        <v>45010</v>
      </c>
      <c r="L176" s="21">
        <v>8991200</v>
      </c>
      <c r="M176" s="45">
        <f t="shared" ca="1" si="184"/>
        <v>92</v>
      </c>
      <c r="N176" s="18" t="str">
        <f t="shared" ca="1" si="189"/>
        <v>Муддати тугаган</v>
      </c>
      <c r="O176" s="19">
        <f t="shared" ca="1" si="185"/>
        <v>8991200</v>
      </c>
      <c r="P176" s="19" t="str">
        <f t="shared" ca="1" si="186"/>
        <v/>
      </c>
      <c r="Q176" s="19" t="str">
        <f t="shared" ca="1" si="187"/>
        <v/>
      </c>
      <c r="R176" s="19">
        <f t="shared" ca="1" si="188"/>
        <v>8991200</v>
      </c>
      <c r="S176" s="20"/>
    </row>
    <row r="177" spans="2:19" x14ac:dyDescent="0.2">
      <c r="B177" s="13" t="s">
        <v>302</v>
      </c>
      <c r="C177" s="40">
        <v>306984100</v>
      </c>
      <c r="D177" s="14">
        <v>901663931</v>
      </c>
      <c r="E177" s="14"/>
      <c r="F177" s="15" t="s">
        <v>24</v>
      </c>
      <c r="G177" s="15" t="s">
        <v>103</v>
      </c>
      <c r="H177" s="15" t="s">
        <v>520</v>
      </c>
      <c r="I177" s="15" t="s">
        <v>26</v>
      </c>
      <c r="J177" s="16">
        <v>44996</v>
      </c>
      <c r="K177" s="16">
        <f t="shared" si="183"/>
        <v>45026</v>
      </c>
      <c r="L177" s="17">
        <v>2920650</v>
      </c>
      <c r="M177" s="45">
        <f t="shared" ca="1" si="184"/>
        <v>76</v>
      </c>
      <c r="N177" s="18" t="str">
        <f t="shared" ca="1" si="189"/>
        <v>Муддати тугаган</v>
      </c>
      <c r="O177" s="19">
        <f t="shared" ca="1" si="185"/>
        <v>2920650</v>
      </c>
      <c r="P177" s="19" t="str">
        <f t="shared" ca="1" si="186"/>
        <v/>
      </c>
      <c r="Q177" s="19">
        <f t="shared" ca="1" si="187"/>
        <v>2920650</v>
      </c>
      <c r="R177" s="19" t="str">
        <f t="shared" ca="1" si="188"/>
        <v xml:space="preserve"> </v>
      </c>
      <c r="S177" s="20"/>
    </row>
    <row r="178" spans="2:19" x14ac:dyDescent="0.2">
      <c r="B178" s="33" t="s">
        <v>304</v>
      </c>
      <c r="C178" s="41">
        <v>309834220</v>
      </c>
      <c r="D178" s="14">
        <v>990004510</v>
      </c>
      <c r="E178" s="14"/>
      <c r="F178" s="15" t="s">
        <v>55</v>
      </c>
      <c r="G178" s="15" t="s">
        <v>182</v>
      </c>
      <c r="H178" s="15" t="s">
        <v>520</v>
      </c>
      <c r="I178" s="15" t="s">
        <v>62</v>
      </c>
      <c r="J178" s="16">
        <v>44865</v>
      </c>
      <c r="K178" s="16">
        <f t="shared" ref="K178:K185" si="190">IF(J178&gt;0,J178+30," ")</f>
        <v>44895</v>
      </c>
      <c r="L178" s="17">
        <v>13626240</v>
      </c>
      <c r="M178" s="45">
        <f t="shared" ref="M178:M185" ca="1" si="191">IF(J178&gt;0,(+$B$1-J178),)</f>
        <v>207</v>
      </c>
      <c r="N178" s="18" t="str">
        <f t="shared" ca="1" si="189"/>
        <v>Муддати тугаган</v>
      </c>
      <c r="O178" s="19">
        <f t="shared" ref="O178:O185" ca="1" si="192">IF(M178&gt;=30,L178, " ")</f>
        <v>13626240</v>
      </c>
      <c r="P178" s="19" t="str">
        <f t="shared" ref="P178:P185" ca="1" si="193">IF(M178&gt;60,"",(IF(M178&gt;30,O178, "")))</f>
        <v/>
      </c>
      <c r="Q178" s="19" t="str">
        <f t="shared" ref="Q178:Q185" ca="1" si="194">IF(M178&gt;90,"",(IF(M178&gt;60,O178, "")))</f>
        <v/>
      </c>
      <c r="R178" s="19">
        <f t="shared" ref="R178:R185" ca="1" si="195">IF(M178&gt;90,L178, " ")</f>
        <v>13626240</v>
      </c>
      <c r="S178" s="20"/>
    </row>
    <row r="179" spans="2:19" x14ac:dyDescent="0.2">
      <c r="B179" s="33" t="s">
        <v>304</v>
      </c>
      <c r="C179" s="41">
        <v>309834220</v>
      </c>
      <c r="D179" s="14">
        <v>990004510</v>
      </c>
      <c r="E179" s="14"/>
      <c r="F179" s="15" t="s">
        <v>55</v>
      </c>
      <c r="G179" s="15" t="s">
        <v>182</v>
      </c>
      <c r="H179" s="15" t="s">
        <v>520</v>
      </c>
      <c r="I179" s="15" t="s">
        <v>62</v>
      </c>
      <c r="J179" s="16">
        <v>44888</v>
      </c>
      <c r="K179" s="16">
        <f t="shared" si="190"/>
        <v>44918</v>
      </c>
      <c r="L179" s="17">
        <v>2963000</v>
      </c>
      <c r="M179" s="45">
        <f t="shared" ca="1" si="191"/>
        <v>184</v>
      </c>
      <c r="N179" s="18" t="str">
        <f t="shared" ca="1" si="189"/>
        <v>Муддати тугаган</v>
      </c>
      <c r="O179" s="19">
        <f t="shared" ca="1" si="192"/>
        <v>2963000</v>
      </c>
      <c r="P179" s="19" t="str">
        <f t="shared" ca="1" si="193"/>
        <v/>
      </c>
      <c r="Q179" s="19" t="str">
        <f t="shared" ca="1" si="194"/>
        <v/>
      </c>
      <c r="R179" s="19">
        <f t="shared" ca="1" si="195"/>
        <v>2963000</v>
      </c>
      <c r="S179" s="20"/>
    </row>
    <row r="180" spans="2:19" x14ac:dyDescent="0.2">
      <c r="B180" s="33" t="s">
        <v>304</v>
      </c>
      <c r="C180" s="41">
        <v>309834220</v>
      </c>
      <c r="D180" s="14">
        <v>990004510</v>
      </c>
      <c r="E180" s="14"/>
      <c r="F180" s="15" t="s">
        <v>55</v>
      </c>
      <c r="G180" s="15" t="s">
        <v>182</v>
      </c>
      <c r="H180" s="15" t="s">
        <v>520</v>
      </c>
      <c r="I180" s="15" t="s">
        <v>62</v>
      </c>
      <c r="J180" s="16">
        <v>44918</v>
      </c>
      <c r="K180" s="16">
        <f t="shared" si="190"/>
        <v>44948</v>
      </c>
      <c r="L180" s="17">
        <v>914400</v>
      </c>
      <c r="M180" s="45">
        <f t="shared" ca="1" si="191"/>
        <v>154</v>
      </c>
      <c r="N180" s="18" t="str">
        <f t="shared" ca="1" si="189"/>
        <v>Муддати тугаган</v>
      </c>
      <c r="O180" s="19">
        <f t="shared" ca="1" si="192"/>
        <v>914400</v>
      </c>
      <c r="P180" s="19" t="str">
        <f t="shared" ca="1" si="193"/>
        <v/>
      </c>
      <c r="Q180" s="19" t="str">
        <f t="shared" ca="1" si="194"/>
        <v/>
      </c>
      <c r="R180" s="19">
        <f t="shared" ca="1" si="195"/>
        <v>914400</v>
      </c>
      <c r="S180" s="20"/>
    </row>
    <row r="181" spans="2:19" x14ac:dyDescent="0.2">
      <c r="B181" s="13" t="s">
        <v>305</v>
      </c>
      <c r="C181" s="40">
        <v>303459328</v>
      </c>
      <c r="D181" s="14">
        <v>955100788</v>
      </c>
      <c r="E181" s="14"/>
      <c r="F181" s="15" t="s">
        <v>75</v>
      </c>
      <c r="G181" s="15" t="s">
        <v>257</v>
      </c>
      <c r="H181" s="15" t="s">
        <v>520</v>
      </c>
      <c r="I181" s="15" t="s">
        <v>77</v>
      </c>
      <c r="J181" s="16">
        <v>44977</v>
      </c>
      <c r="K181" s="16">
        <f t="shared" si="190"/>
        <v>45007</v>
      </c>
      <c r="L181" s="21">
        <v>4596450</v>
      </c>
      <c r="M181" s="45">
        <f t="shared" ca="1" si="191"/>
        <v>95</v>
      </c>
      <c r="N181" s="18" t="str">
        <f t="shared" ca="1" si="189"/>
        <v>Муддати тугаган</v>
      </c>
      <c r="O181" s="19">
        <f t="shared" ca="1" si="192"/>
        <v>4596450</v>
      </c>
      <c r="P181" s="19" t="str">
        <f t="shared" ca="1" si="193"/>
        <v/>
      </c>
      <c r="Q181" s="19" t="str">
        <f t="shared" ca="1" si="194"/>
        <v/>
      </c>
      <c r="R181" s="19">
        <f t="shared" ca="1" si="195"/>
        <v>4596450</v>
      </c>
      <c r="S181" s="20"/>
    </row>
    <row r="182" spans="2:19" x14ac:dyDescent="0.2">
      <c r="B182" s="13" t="s">
        <v>305</v>
      </c>
      <c r="C182" s="40">
        <v>303459328</v>
      </c>
      <c r="D182" s="14">
        <v>955100788</v>
      </c>
      <c r="E182" s="14"/>
      <c r="F182" s="15" t="s">
        <v>75</v>
      </c>
      <c r="G182" s="15" t="s">
        <v>257</v>
      </c>
      <c r="H182" s="15" t="s">
        <v>520</v>
      </c>
      <c r="I182" s="15" t="s">
        <v>77</v>
      </c>
      <c r="J182" s="16">
        <v>45002</v>
      </c>
      <c r="K182" s="16">
        <f t="shared" si="190"/>
        <v>45032</v>
      </c>
      <c r="L182" s="21">
        <v>870550</v>
      </c>
      <c r="M182" s="45">
        <f t="shared" ca="1" si="191"/>
        <v>70</v>
      </c>
      <c r="N182" s="18" t="str">
        <f t="shared" ca="1" si="189"/>
        <v>Муддати тугаган</v>
      </c>
      <c r="O182" s="19">
        <f t="shared" ca="1" si="192"/>
        <v>870550</v>
      </c>
      <c r="P182" s="19" t="str">
        <f t="shared" ca="1" si="193"/>
        <v/>
      </c>
      <c r="Q182" s="19">
        <f t="shared" ca="1" si="194"/>
        <v>870550</v>
      </c>
      <c r="R182" s="19" t="str">
        <f t="shared" ca="1" si="195"/>
        <v xml:space="preserve"> </v>
      </c>
      <c r="S182" s="20"/>
    </row>
    <row r="183" spans="2:19" x14ac:dyDescent="0.2">
      <c r="B183" s="13" t="s">
        <v>306</v>
      </c>
      <c r="C183" s="40">
        <v>303029624</v>
      </c>
      <c r="D183" s="14">
        <v>990057505</v>
      </c>
      <c r="E183" s="14"/>
      <c r="F183" s="15" t="s">
        <v>13</v>
      </c>
      <c r="G183" s="15" t="s">
        <v>214</v>
      </c>
      <c r="H183" s="15" t="s">
        <v>520</v>
      </c>
      <c r="I183" s="15" t="s">
        <v>215</v>
      </c>
      <c r="J183" s="16">
        <v>45042</v>
      </c>
      <c r="K183" s="16">
        <f t="shared" si="190"/>
        <v>45072</v>
      </c>
      <c r="L183" s="17">
        <v>2170775</v>
      </c>
      <c r="M183" s="45">
        <f t="shared" ca="1" si="191"/>
        <v>30</v>
      </c>
      <c r="N183" s="18" t="str">
        <f t="shared" ca="1" si="189"/>
        <v>Муддати тугаган</v>
      </c>
      <c r="O183" s="19">
        <f t="shared" ca="1" si="192"/>
        <v>2170775</v>
      </c>
      <c r="P183" s="19" t="str">
        <f t="shared" ca="1" si="193"/>
        <v/>
      </c>
      <c r="Q183" s="19" t="str">
        <f t="shared" ca="1" si="194"/>
        <v/>
      </c>
      <c r="R183" s="19" t="str">
        <f t="shared" ca="1" si="195"/>
        <v xml:space="preserve"> </v>
      </c>
      <c r="S183" s="20"/>
    </row>
    <row r="184" spans="2:19" x14ac:dyDescent="0.2">
      <c r="B184" s="13" t="s">
        <v>307</v>
      </c>
      <c r="C184" s="40">
        <v>309167419</v>
      </c>
      <c r="D184" s="14">
        <v>906940000</v>
      </c>
      <c r="E184" s="14"/>
      <c r="F184" s="15" t="s">
        <v>55</v>
      </c>
      <c r="G184" s="15" t="s">
        <v>55</v>
      </c>
      <c r="H184" s="15" t="s">
        <v>520</v>
      </c>
      <c r="I184" s="15" t="s">
        <v>61</v>
      </c>
      <c r="J184" s="16">
        <v>44939</v>
      </c>
      <c r="K184" s="16">
        <f t="shared" si="190"/>
        <v>44969</v>
      </c>
      <c r="L184" s="17">
        <v>1534500</v>
      </c>
      <c r="M184" s="45">
        <f t="shared" ca="1" si="191"/>
        <v>133</v>
      </c>
      <c r="N184" s="18" t="str">
        <f t="shared" ref="N184:N186" ca="1" si="196">IF(M184=0," ",IF(M184&gt;=30,"Муддати тугаган"," "))</f>
        <v>Муддати тугаган</v>
      </c>
      <c r="O184" s="19">
        <f t="shared" ca="1" si="192"/>
        <v>1534500</v>
      </c>
      <c r="P184" s="19" t="str">
        <f t="shared" ca="1" si="193"/>
        <v/>
      </c>
      <c r="Q184" s="19" t="str">
        <f t="shared" ca="1" si="194"/>
        <v/>
      </c>
      <c r="R184" s="19">
        <f t="shared" ca="1" si="195"/>
        <v>1534500</v>
      </c>
      <c r="S184" s="20"/>
    </row>
    <row r="185" spans="2:19" x14ac:dyDescent="0.2">
      <c r="B185" s="13" t="s">
        <v>307</v>
      </c>
      <c r="C185" s="40">
        <v>309167419</v>
      </c>
      <c r="D185" s="14">
        <v>906940000</v>
      </c>
      <c r="E185" s="14"/>
      <c r="F185" s="15" t="s">
        <v>55</v>
      </c>
      <c r="G185" s="15" t="s">
        <v>55</v>
      </c>
      <c r="H185" s="15" t="s">
        <v>520</v>
      </c>
      <c r="I185" s="15" t="s">
        <v>61</v>
      </c>
      <c r="J185" s="16">
        <v>44921</v>
      </c>
      <c r="K185" s="16">
        <f t="shared" si="190"/>
        <v>44951</v>
      </c>
      <c r="L185" s="17">
        <v>890600</v>
      </c>
      <c r="M185" s="45">
        <f t="shared" ca="1" si="191"/>
        <v>151</v>
      </c>
      <c r="N185" s="18" t="str">
        <f t="shared" ca="1" si="196"/>
        <v>Муддати тугаган</v>
      </c>
      <c r="O185" s="19">
        <f t="shared" ca="1" si="192"/>
        <v>890600</v>
      </c>
      <c r="P185" s="19" t="str">
        <f t="shared" ca="1" si="193"/>
        <v/>
      </c>
      <c r="Q185" s="19" t="str">
        <f t="shared" ca="1" si="194"/>
        <v/>
      </c>
      <c r="R185" s="19">
        <f t="shared" ca="1" si="195"/>
        <v>890600</v>
      </c>
      <c r="S185" s="20"/>
    </row>
    <row r="186" spans="2:19" x14ac:dyDescent="0.2">
      <c r="B186" s="13" t="s">
        <v>310</v>
      </c>
      <c r="C186" s="40">
        <v>302926238</v>
      </c>
      <c r="D186" s="14">
        <v>979255551</v>
      </c>
      <c r="E186" s="14"/>
      <c r="F186" s="15" t="s">
        <v>64</v>
      </c>
      <c r="G186" s="15" t="s">
        <v>64</v>
      </c>
      <c r="H186" s="15" t="s">
        <v>520</v>
      </c>
      <c r="I186" s="15" t="s">
        <v>69</v>
      </c>
      <c r="J186" s="16">
        <v>44979</v>
      </c>
      <c r="K186" s="16">
        <f t="shared" ref="K186:K188" si="197">IF(J186&gt;0,J186+30," ")</f>
        <v>45009</v>
      </c>
      <c r="L186" s="17">
        <v>4295200</v>
      </c>
      <c r="M186" s="45">
        <f t="shared" ref="M186:M188" ca="1" si="198">IF(J186&gt;0,(+$B$1-J186),)</f>
        <v>93</v>
      </c>
      <c r="N186" s="18" t="str">
        <f t="shared" ca="1" si="196"/>
        <v>Муддати тугаган</v>
      </c>
      <c r="O186" s="19">
        <f t="shared" ref="O186:O188" ca="1" si="199">IF(M186&gt;=30,L186, " ")</f>
        <v>4295200</v>
      </c>
      <c r="P186" s="19" t="str">
        <f t="shared" ref="P186:P188" ca="1" si="200">IF(M186&gt;60,"",(IF(M186&gt;30,O186, "")))</f>
        <v/>
      </c>
      <c r="Q186" s="19" t="str">
        <f t="shared" ref="Q186:Q188" ca="1" si="201">IF(M186&gt;90,"",(IF(M186&gt;60,O186, "")))</f>
        <v/>
      </c>
      <c r="R186" s="19">
        <f t="shared" ref="R186:R188" ca="1" si="202">IF(M186&gt;90,L186, " ")</f>
        <v>4295200</v>
      </c>
      <c r="S186" s="20"/>
    </row>
    <row r="187" spans="2:19" x14ac:dyDescent="0.2">
      <c r="B187" s="13" t="s">
        <v>571</v>
      </c>
      <c r="C187" s="40">
        <v>916406861</v>
      </c>
      <c r="D187" s="14"/>
      <c r="E187" s="14"/>
      <c r="F187" s="15" t="s">
        <v>45</v>
      </c>
      <c r="G187" s="15" t="s">
        <v>385</v>
      </c>
      <c r="H187" s="15" t="s">
        <v>520</v>
      </c>
      <c r="I187" s="15" t="s">
        <v>116</v>
      </c>
      <c r="J187" s="16">
        <v>45001</v>
      </c>
      <c r="K187" s="16">
        <f t="shared" si="197"/>
        <v>45031</v>
      </c>
      <c r="L187" s="17">
        <v>1813040</v>
      </c>
      <c r="M187" s="45">
        <f t="shared" ca="1" si="198"/>
        <v>71</v>
      </c>
      <c r="N187" s="18" t="str">
        <f t="shared" ref="N187:N188" ca="1" si="203">IF(M187=0," ",IF(M187&gt;=30,"Муддати тугаган"," "))</f>
        <v>Муддати тугаган</v>
      </c>
      <c r="O187" s="19">
        <f t="shared" ca="1" si="199"/>
        <v>1813040</v>
      </c>
      <c r="P187" s="19" t="str">
        <f t="shared" ca="1" si="200"/>
        <v/>
      </c>
      <c r="Q187" s="19">
        <f t="shared" ca="1" si="201"/>
        <v>1813040</v>
      </c>
      <c r="R187" s="19" t="str">
        <f t="shared" ca="1" si="202"/>
        <v xml:space="preserve"> </v>
      </c>
      <c r="S187" s="20"/>
    </row>
    <row r="188" spans="2:19" x14ac:dyDescent="0.2">
      <c r="B188" s="13" t="s">
        <v>312</v>
      </c>
      <c r="C188" s="40">
        <v>305402627</v>
      </c>
      <c r="D188" s="14"/>
      <c r="E188" s="14"/>
      <c r="F188" s="15" t="s">
        <v>64</v>
      </c>
      <c r="G188" s="15" t="s">
        <v>313</v>
      </c>
      <c r="H188" s="15" t="s">
        <v>520</v>
      </c>
      <c r="I188" s="15" t="s">
        <v>68</v>
      </c>
      <c r="J188" s="16">
        <v>44841</v>
      </c>
      <c r="K188" s="16">
        <f t="shared" si="197"/>
        <v>44871</v>
      </c>
      <c r="L188" s="21">
        <v>10013250</v>
      </c>
      <c r="M188" s="45">
        <f t="shared" ca="1" si="198"/>
        <v>231</v>
      </c>
      <c r="N188" s="18" t="str">
        <f t="shared" ca="1" si="203"/>
        <v>Муддати тугаган</v>
      </c>
      <c r="O188" s="19">
        <f t="shared" ca="1" si="199"/>
        <v>10013250</v>
      </c>
      <c r="P188" s="19" t="str">
        <f t="shared" ca="1" si="200"/>
        <v/>
      </c>
      <c r="Q188" s="19" t="str">
        <f t="shared" ca="1" si="201"/>
        <v/>
      </c>
      <c r="R188" s="19">
        <f t="shared" ca="1" si="202"/>
        <v>10013250</v>
      </c>
      <c r="S188" s="20"/>
    </row>
    <row r="189" spans="2:19" x14ac:dyDescent="0.2">
      <c r="B189" s="13" t="s">
        <v>583</v>
      </c>
      <c r="C189" s="40">
        <v>201545067</v>
      </c>
      <c r="D189" s="14"/>
      <c r="E189" s="14"/>
      <c r="F189" s="15" t="s">
        <v>17</v>
      </c>
      <c r="G189" s="15" t="s">
        <v>219</v>
      </c>
      <c r="H189" s="15" t="s">
        <v>520</v>
      </c>
      <c r="I189" s="15" t="s">
        <v>148</v>
      </c>
      <c r="J189" s="16">
        <v>45035</v>
      </c>
      <c r="K189" s="16">
        <f t="shared" ref="K189:K193" si="204">IF(J189&gt;0,J189+30," ")</f>
        <v>45065</v>
      </c>
      <c r="L189" s="21">
        <v>807525</v>
      </c>
      <c r="M189" s="45">
        <f t="shared" ref="M189:M193" ca="1" si="205">IF(J189&gt;0,(+$B$1-J189),)</f>
        <v>37</v>
      </c>
      <c r="N189" s="18" t="str">
        <f t="shared" ref="N189:N196" ca="1" si="206">IF(M189=0," ",IF(M189&gt;=30,"Муддати тугаган"," "))</f>
        <v>Муддати тугаган</v>
      </c>
      <c r="O189" s="19">
        <f t="shared" ref="O189:O193" ca="1" si="207">IF(M189&gt;=30,L189, " ")</f>
        <v>807525</v>
      </c>
      <c r="P189" s="19">
        <f t="shared" ref="P189:P193" ca="1" si="208">IF(M189&gt;60,"",(IF(M189&gt;30,O189, "")))</f>
        <v>807525</v>
      </c>
      <c r="Q189" s="19" t="str">
        <f t="shared" ref="Q189:Q193" ca="1" si="209">IF(M189&gt;90,"",(IF(M189&gt;60,O189, "")))</f>
        <v/>
      </c>
      <c r="R189" s="19" t="str">
        <f t="shared" ref="R189:R193" ca="1" si="210">IF(M189&gt;90,L189, " ")</f>
        <v xml:space="preserve"> </v>
      </c>
      <c r="S189" s="20"/>
    </row>
    <row r="190" spans="2:19" x14ac:dyDescent="0.2">
      <c r="B190" s="13" t="s">
        <v>314</v>
      </c>
      <c r="C190" s="40">
        <v>301638374</v>
      </c>
      <c r="D190" s="14">
        <v>902858819</v>
      </c>
      <c r="E190" s="14"/>
      <c r="F190" s="15" t="s">
        <v>64</v>
      </c>
      <c r="G190" s="15" t="s">
        <v>146</v>
      </c>
      <c r="H190" s="15" t="s">
        <v>520</v>
      </c>
      <c r="I190" s="15" t="s">
        <v>68</v>
      </c>
      <c r="J190" s="16">
        <v>45035</v>
      </c>
      <c r="K190" s="16">
        <f t="shared" si="204"/>
        <v>45065</v>
      </c>
      <c r="L190" s="17">
        <v>6194500</v>
      </c>
      <c r="M190" s="45">
        <f t="shared" ca="1" si="205"/>
        <v>37</v>
      </c>
      <c r="N190" s="18" t="str">
        <f t="shared" ca="1" si="206"/>
        <v>Муддати тугаган</v>
      </c>
      <c r="O190" s="19">
        <f t="shared" ca="1" si="207"/>
        <v>6194500</v>
      </c>
      <c r="P190" s="19">
        <f t="shared" ca="1" si="208"/>
        <v>6194500</v>
      </c>
      <c r="Q190" s="19" t="str">
        <f t="shared" ca="1" si="209"/>
        <v/>
      </c>
      <c r="R190" s="19" t="str">
        <f t="shared" ca="1" si="210"/>
        <v xml:space="preserve"> </v>
      </c>
      <c r="S190" s="20"/>
    </row>
    <row r="191" spans="2:19" x14ac:dyDescent="0.2">
      <c r="B191" s="13" t="s">
        <v>315</v>
      </c>
      <c r="C191" s="40">
        <v>302486271</v>
      </c>
      <c r="D191" s="14">
        <v>902311516</v>
      </c>
      <c r="E191" s="14"/>
      <c r="F191" s="15" t="s">
        <v>24</v>
      </c>
      <c r="G191" s="15" t="s">
        <v>132</v>
      </c>
      <c r="H191" s="15" t="s">
        <v>520</v>
      </c>
      <c r="I191" s="15" t="s">
        <v>101</v>
      </c>
      <c r="J191" s="16">
        <v>45029</v>
      </c>
      <c r="K191" s="16">
        <f t="shared" si="204"/>
        <v>45059</v>
      </c>
      <c r="L191" s="17">
        <v>825000</v>
      </c>
      <c r="M191" s="45">
        <f t="shared" ca="1" si="205"/>
        <v>43</v>
      </c>
      <c r="N191" s="18" t="str">
        <f t="shared" ca="1" si="206"/>
        <v>Муддати тугаган</v>
      </c>
      <c r="O191" s="19">
        <f t="shared" ca="1" si="207"/>
        <v>825000</v>
      </c>
      <c r="P191" s="19">
        <f t="shared" ca="1" si="208"/>
        <v>825000</v>
      </c>
      <c r="Q191" s="19" t="str">
        <f t="shared" ca="1" si="209"/>
        <v/>
      </c>
      <c r="R191" s="19" t="str">
        <f t="shared" ca="1" si="210"/>
        <v xml:space="preserve"> </v>
      </c>
      <c r="S191" s="20"/>
    </row>
    <row r="192" spans="2:19" x14ac:dyDescent="0.2">
      <c r="B192" s="13" t="s">
        <v>316</v>
      </c>
      <c r="C192" s="40">
        <v>303000266</v>
      </c>
      <c r="D192" s="14">
        <v>939421009</v>
      </c>
      <c r="E192" s="14"/>
      <c r="F192" s="15" t="s">
        <v>55</v>
      </c>
      <c r="G192" s="15" t="s">
        <v>216</v>
      </c>
      <c r="H192" s="15" t="s">
        <v>520</v>
      </c>
      <c r="I192" s="15" t="s">
        <v>59</v>
      </c>
      <c r="J192" s="16">
        <v>44950</v>
      </c>
      <c r="K192" s="16">
        <f t="shared" si="204"/>
        <v>44980</v>
      </c>
      <c r="L192" s="17">
        <v>6286100</v>
      </c>
      <c r="M192" s="45">
        <f t="shared" ca="1" si="205"/>
        <v>122</v>
      </c>
      <c r="N192" s="18" t="str">
        <f t="shared" ca="1" si="206"/>
        <v>Муддати тугаган</v>
      </c>
      <c r="O192" s="19">
        <f t="shared" ca="1" si="207"/>
        <v>6286100</v>
      </c>
      <c r="P192" s="19" t="str">
        <f t="shared" ca="1" si="208"/>
        <v/>
      </c>
      <c r="Q192" s="19" t="str">
        <f t="shared" ca="1" si="209"/>
        <v/>
      </c>
      <c r="R192" s="19">
        <f t="shared" ca="1" si="210"/>
        <v>6286100</v>
      </c>
      <c r="S192" s="20"/>
    </row>
    <row r="193" spans="2:19" x14ac:dyDescent="0.2">
      <c r="B193" s="13" t="s">
        <v>316</v>
      </c>
      <c r="C193" s="40">
        <v>303000266</v>
      </c>
      <c r="D193" s="14">
        <v>939421009</v>
      </c>
      <c r="E193" s="14"/>
      <c r="F193" s="15" t="s">
        <v>55</v>
      </c>
      <c r="G193" s="15" t="s">
        <v>216</v>
      </c>
      <c r="H193" s="15" t="s">
        <v>520</v>
      </c>
      <c r="I193" s="15" t="s">
        <v>59</v>
      </c>
      <c r="J193" s="16">
        <v>44985</v>
      </c>
      <c r="K193" s="16">
        <f t="shared" si="204"/>
        <v>45015</v>
      </c>
      <c r="L193" s="17">
        <v>9739400</v>
      </c>
      <c r="M193" s="45">
        <f t="shared" ca="1" si="205"/>
        <v>87</v>
      </c>
      <c r="N193" s="18" t="str">
        <f t="shared" ca="1" si="206"/>
        <v>Муддати тугаган</v>
      </c>
      <c r="O193" s="19">
        <f t="shared" ca="1" si="207"/>
        <v>9739400</v>
      </c>
      <c r="P193" s="19" t="str">
        <f t="shared" ca="1" si="208"/>
        <v/>
      </c>
      <c r="Q193" s="19">
        <f t="shared" ca="1" si="209"/>
        <v>9739400</v>
      </c>
      <c r="R193" s="19" t="str">
        <f t="shared" ca="1" si="210"/>
        <v xml:space="preserve"> </v>
      </c>
      <c r="S193" s="20"/>
    </row>
    <row r="194" spans="2:19" x14ac:dyDescent="0.2">
      <c r="B194" s="13" t="s">
        <v>547</v>
      </c>
      <c r="C194" s="40">
        <v>307615185</v>
      </c>
      <c r="D194" s="14">
        <v>997099421</v>
      </c>
      <c r="E194" s="14"/>
      <c r="F194" s="15" t="s">
        <v>21</v>
      </c>
      <c r="G194" s="15" t="s">
        <v>121</v>
      </c>
      <c r="H194" s="15" t="s">
        <v>520</v>
      </c>
      <c r="I194" s="15" t="s">
        <v>416</v>
      </c>
      <c r="J194" s="16">
        <v>44965</v>
      </c>
      <c r="K194" s="16">
        <f t="shared" ref="K194:K199" si="211">IF(J194&gt;0,J194+30," ")</f>
        <v>44995</v>
      </c>
      <c r="L194" s="17">
        <v>5004120</v>
      </c>
      <c r="M194" s="45">
        <f t="shared" ref="M194:M199" ca="1" si="212">IF(J194&gt;0,(+$B$1-J194),)</f>
        <v>107</v>
      </c>
      <c r="N194" s="18" t="str">
        <f t="shared" ca="1" si="206"/>
        <v>Муддати тугаган</v>
      </c>
      <c r="O194" s="19">
        <f t="shared" ref="O194:O199" ca="1" si="213">IF(M194&gt;=30,L194, " ")</f>
        <v>5004120</v>
      </c>
      <c r="P194" s="19" t="str">
        <f t="shared" ref="P194:P199" ca="1" si="214">IF(M194&gt;60,"",(IF(M194&gt;30,O194, "")))</f>
        <v/>
      </c>
      <c r="Q194" s="19" t="str">
        <f t="shared" ref="Q194:Q199" ca="1" si="215">IF(M194&gt;90,"",(IF(M194&gt;60,O194, "")))</f>
        <v/>
      </c>
      <c r="R194" s="19">
        <f t="shared" ref="R194:R199" ca="1" si="216">IF(M194&gt;90,L194, " ")</f>
        <v>5004120</v>
      </c>
      <c r="S194" s="20"/>
    </row>
    <row r="195" spans="2:19" x14ac:dyDescent="0.2">
      <c r="B195" s="24" t="s">
        <v>318</v>
      </c>
      <c r="C195" s="43">
        <v>305536261</v>
      </c>
      <c r="D195" s="25">
        <v>946606617</v>
      </c>
      <c r="E195" s="14"/>
      <c r="F195" s="26" t="s">
        <v>75</v>
      </c>
      <c r="G195" s="26" t="s">
        <v>144</v>
      </c>
      <c r="H195" s="26" t="s">
        <v>520</v>
      </c>
      <c r="I195" s="26" t="s">
        <v>76</v>
      </c>
      <c r="J195" s="27">
        <v>44236</v>
      </c>
      <c r="K195" s="27">
        <f t="shared" si="211"/>
        <v>44266</v>
      </c>
      <c r="L195" s="37">
        <v>4220100</v>
      </c>
      <c r="M195" s="46">
        <f t="shared" ca="1" si="212"/>
        <v>836</v>
      </c>
      <c r="N195" s="57" t="str">
        <f t="shared" ca="1" si="206"/>
        <v>Муддати тугаган</v>
      </c>
      <c r="O195" s="29">
        <f t="shared" ca="1" si="213"/>
        <v>4220100</v>
      </c>
      <c r="P195" s="29" t="str">
        <f t="shared" ca="1" si="214"/>
        <v/>
      </c>
      <c r="Q195" s="29" t="str">
        <f t="shared" ca="1" si="215"/>
        <v/>
      </c>
      <c r="R195" s="29">
        <f t="shared" ca="1" si="216"/>
        <v>4220100</v>
      </c>
      <c r="S195" s="20"/>
    </row>
    <row r="196" spans="2:19" x14ac:dyDescent="0.2">
      <c r="B196" s="13" t="s">
        <v>319</v>
      </c>
      <c r="C196" s="40">
        <v>306162879</v>
      </c>
      <c r="D196" s="14"/>
      <c r="E196" s="14"/>
      <c r="F196" s="15" t="s">
        <v>45</v>
      </c>
      <c r="G196" s="15" t="s">
        <v>104</v>
      </c>
      <c r="H196" s="15" t="s">
        <v>520</v>
      </c>
      <c r="I196" s="15" t="s">
        <v>167</v>
      </c>
      <c r="J196" s="16">
        <v>45033</v>
      </c>
      <c r="K196" s="16">
        <f t="shared" si="211"/>
        <v>45063</v>
      </c>
      <c r="L196" s="17">
        <v>500</v>
      </c>
      <c r="M196" s="45">
        <f t="shared" ca="1" si="212"/>
        <v>39</v>
      </c>
      <c r="N196" s="18" t="str">
        <f t="shared" ca="1" si="206"/>
        <v>Муддати тугаган</v>
      </c>
      <c r="O196" s="19">
        <f t="shared" ca="1" si="213"/>
        <v>500</v>
      </c>
      <c r="P196" s="19">
        <f t="shared" ca="1" si="214"/>
        <v>500</v>
      </c>
      <c r="Q196" s="19" t="str">
        <f t="shared" ca="1" si="215"/>
        <v/>
      </c>
      <c r="R196" s="19" t="str">
        <f t="shared" ca="1" si="216"/>
        <v xml:space="preserve"> </v>
      </c>
      <c r="S196" s="20"/>
    </row>
    <row r="197" spans="2:19" x14ac:dyDescent="0.2">
      <c r="B197" s="13" t="s">
        <v>560</v>
      </c>
      <c r="C197" s="40">
        <v>305973391</v>
      </c>
      <c r="D197" s="14">
        <v>909603111</v>
      </c>
      <c r="E197" s="14"/>
      <c r="F197" s="15" t="s">
        <v>45</v>
      </c>
      <c r="G197" s="15" t="s">
        <v>141</v>
      </c>
      <c r="H197" s="15" t="s">
        <v>520</v>
      </c>
      <c r="I197" s="15" t="s">
        <v>116</v>
      </c>
      <c r="J197" s="16">
        <v>44991</v>
      </c>
      <c r="K197" s="16">
        <f t="shared" si="211"/>
        <v>45021</v>
      </c>
      <c r="L197" s="17">
        <v>1239000</v>
      </c>
      <c r="M197" s="45">
        <f t="shared" ca="1" si="212"/>
        <v>81</v>
      </c>
      <c r="N197" s="18" t="str">
        <f t="shared" ref="N197:N202" ca="1" si="217">IF(M197=0," ",IF(M197&gt;=30,"Муддати тугаган"," "))</f>
        <v>Муддати тугаган</v>
      </c>
      <c r="O197" s="19">
        <f t="shared" ca="1" si="213"/>
        <v>1239000</v>
      </c>
      <c r="P197" s="19" t="str">
        <f t="shared" ca="1" si="214"/>
        <v/>
      </c>
      <c r="Q197" s="19">
        <f t="shared" ca="1" si="215"/>
        <v>1239000</v>
      </c>
      <c r="R197" s="19" t="str">
        <f t="shared" ca="1" si="216"/>
        <v xml:space="preserve"> </v>
      </c>
      <c r="S197" s="20"/>
    </row>
    <row r="198" spans="2:19" x14ac:dyDescent="0.2">
      <c r="B198" s="13" t="s">
        <v>320</v>
      </c>
      <c r="C198" s="40">
        <v>301167123</v>
      </c>
      <c r="D198" s="38">
        <v>975870741</v>
      </c>
      <c r="E198" s="14"/>
      <c r="F198" s="15" t="s">
        <v>45</v>
      </c>
      <c r="G198" s="15" t="s">
        <v>181</v>
      </c>
      <c r="H198" s="15" t="s">
        <v>520</v>
      </c>
      <c r="I198" s="15" t="s">
        <v>116</v>
      </c>
      <c r="J198" s="16">
        <v>44573</v>
      </c>
      <c r="K198" s="16">
        <f t="shared" si="211"/>
        <v>44603</v>
      </c>
      <c r="L198" s="17">
        <v>650</v>
      </c>
      <c r="M198" s="45">
        <f t="shared" ca="1" si="212"/>
        <v>499</v>
      </c>
      <c r="N198" s="18" t="str">
        <f t="shared" ca="1" si="217"/>
        <v>Муддати тугаган</v>
      </c>
      <c r="O198" s="19">
        <f t="shared" ca="1" si="213"/>
        <v>650</v>
      </c>
      <c r="P198" s="19" t="str">
        <f t="shared" ca="1" si="214"/>
        <v/>
      </c>
      <c r="Q198" s="19" t="str">
        <f t="shared" ca="1" si="215"/>
        <v/>
      </c>
      <c r="R198" s="19">
        <f t="shared" ca="1" si="216"/>
        <v>650</v>
      </c>
      <c r="S198" s="20"/>
    </row>
    <row r="199" spans="2:19" x14ac:dyDescent="0.2">
      <c r="B199" s="13" t="s">
        <v>321</v>
      </c>
      <c r="C199" s="40">
        <v>307692109</v>
      </c>
      <c r="D199" s="14">
        <v>977233396</v>
      </c>
      <c r="E199" s="14"/>
      <c r="F199" s="15" t="s">
        <v>45</v>
      </c>
      <c r="G199" s="15" t="s">
        <v>181</v>
      </c>
      <c r="H199" s="15" t="s">
        <v>520</v>
      </c>
      <c r="I199" s="15" t="s">
        <v>116</v>
      </c>
      <c r="J199" s="16">
        <v>44904</v>
      </c>
      <c r="K199" s="16">
        <f t="shared" si="211"/>
        <v>44934</v>
      </c>
      <c r="L199" s="17">
        <v>6071000</v>
      </c>
      <c r="M199" s="45">
        <f t="shared" ca="1" si="212"/>
        <v>168</v>
      </c>
      <c r="N199" s="18" t="str">
        <f t="shared" ca="1" si="217"/>
        <v>Муддати тугаган</v>
      </c>
      <c r="O199" s="19">
        <f t="shared" ca="1" si="213"/>
        <v>6071000</v>
      </c>
      <c r="P199" s="19" t="str">
        <f t="shared" ca="1" si="214"/>
        <v/>
      </c>
      <c r="Q199" s="19" t="str">
        <f t="shared" ca="1" si="215"/>
        <v/>
      </c>
      <c r="R199" s="19">
        <f t="shared" ca="1" si="216"/>
        <v>6071000</v>
      </c>
      <c r="S199" s="20"/>
    </row>
    <row r="200" spans="2:19" x14ac:dyDescent="0.2">
      <c r="B200" s="13" t="s">
        <v>510</v>
      </c>
      <c r="C200" s="40">
        <v>204487027</v>
      </c>
      <c r="D200" s="14"/>
      <c r="E200" s="14"/>
      <c r="F200" s="15" t="s">
        <v>521</v>
      </c>
      <c r="G200" s="15" t="s">
        <v>30</v>
      </c>
      <c r="H200" s="15" t="s">
        <v>508</v>
      </c>
      <c r="I200" s="15" t="s">
        <v>511</v>
      </c>
      <c r="J200" s="16">
        <v>44866</v>
      </c>
      <c r="K200" s="16">
        <f t="shared" ref="K200:K204" si="218">IF(J200&gt;0,J200+30," ")</f>
        <v>44896</v>
      </c>
      <c r="L200" s="17">
        <v>2024500</v>
      </c>
      <c r="M200" s="45">
        <f t="shared" ref="M200:M204" ca="1" si="219">IF(J200&gt;0,(+$B$1-J200),)</f>
        <v>206</v>
      </c>
      <c r="N200" s="18" t="str">
        <f t="shared" ca="1" si="217"/>
        <v>Муддати тугаган</v>
      </c>
      <c r="O200" s="19">
        <f t="shared" ref="O200:O204" ca="1" si="220">IF(M200&gt;=30,L200, " ")</f>
        <v>2024500</v>
      </c>
      <c r="P200" s="19" t="str">
        <f t="shared" ref="P200:P204" ca="1" si="221">IF(M200&gt;60,"",(IF(M200&gt;30,O200, "")))</f>
        <v/>
      </c>
      <c r="Q200" s="19" t="str">
        <f t="shared" ref="Q200:Q204" ca="1" si="222">IF(M200&gt;90,"",(IF(M200&gt;60,O200, "")))</f>
        <v/>
      </c>
      <c r="R200" s="19">
        <f t="shared" ref="R200:R204" ca="1" si="223">IF(M200&gt;90,L200, " ")</f>
        <v>2024500</v>
      </c>
      <c r="S200" s="20"/>
    </row>
    <row r="201" spans="2:19" x14ac:dyDescent="0.2">
      <c r="B201" s="13" t="s">
        <v>510</v>
      </c>
      <c r="C201" s="40">
        <v>204487027</v>
      </c>
      <c r="D201" s="14"/>
      <c r="E201" s="14"/>
      <c r="F201" s="15" t="s">
        <v>521</v>
      </c>
      <c r="G201" s="15" t="s">
        <v>30</v>
      </c>
      <c r="H201" s="15" t="s">
        <v>508</v>
      </c>
      <c r="I201" s="15" t="s">
        <v>511</v>
      </c>
      <c r="J201" s="16">
        <v>44952</v>
      </c>
      <c r="K201" s="16">
        <f t="shared" si="218"/>
        <v>44982</v>
      </c>
      <c r="L201" s="17">
        <v>2970000</v>
      </c>
      <c r="M201" s="45">
        <f t="shared" ca="1" si="219"/>
        <v>120</v>
      </c>
      <c r="N201" s="18" t="str">
        <f t="shared" ca="1" si="217"/>
        <v>Муддати тугаган</v>
      </c>
      <c r="O201" s="19">
        <f t="shared" ca="1" si="220"/>
        <v>2970000</v>
      </c>
      <c r="P201" s="19" t="str">
        <f t="shared" ca="1" si="221"/>
        <v/>
      </c>
      <c r="Q201" s="19" t="str">
        <f t="shared" ca="1" si="222"/>
        <v/>
      </c>
      <c r="R201" s="19">
        <f t="shared" ca="1" si="223"/>
        <v>2970000</v>
      </c>
      <c r="S201" s="20"/>
    </row>
    <row r="202" spans="2:19" x14ac:dyDescent="0.2">
      <c r="B202" s="13" t="s">
        <v>322</v>
      </c>
      <c r="C202" s="40">
        <v>309701196</v>
      </c>
      <c r="D202" s="34">
        <v>901353589</v>
      </c>
      <c r="E202" s="14"/>
      <c r="F202" s="15" t="s">
        <v>13</v>
      </c>
      <c r="G202" s="15" t="s">
        <v>126</v>
      </c>
      <c r="H202" s="15" t="s">
        <v>520</v>
      </c>
      <c r="I202" s="15" t="s">
        <v>242</v>
      </c>
      <c r="J202" s="16">
        <v>44826</v>
      </c>
      <c r="K202" s="16">
        <f t="shared" si="218"/>
        <v>44856</v>
      </c>
      <c r="L202" s="17">
        <v>1973400</v>
      </c>
      <c r="M202" s="45">
        <f t="shared" ca="1" si="219"/>
        <v>246</v>
      </c>
      <c r="N202" s="18" t="str">
        <f t="shared" ca="1" si="217"/>
        <v>Муддати тугаган</v>
      </c>
      <c r="O202" s="19">
        <f t="shared" ca="1" si="220"/>
        <v>1973400</v>
      </c>
      <c r="P202" s="19" t="str">
        <f t="shared" ca="1" si="221"/>
        <v/>
      </c>
      <c r="Q202" s="19" t="str">
        <f t="shared" ca="1" si="222"/>
        <v/>
      </c>
      <c r="R202" s="19">
        <f t="shared" ca="1" si="223"/>
        <v>1973400</v>
      </c>
      <c r="S202" s="20"/>
    </row>
    <row r="203" spans="2:19" x14ac:dyDescent="0.2">
      <c r="B203" s="24" t="s">
        <v>323</v>
      </c>
      <c r="C203" s="43">
        <v>302638739</v>
      </c>
      <c r="D203" s="25">
        <v>919498899</v>
      </c>
      <c r="E203" s="14"/>
      <c r="F203" s="26" t="s">
        <v>45</v>
      </c>
      <c r="G203" s="26" t="s">
        <v>104</v>
      </c>
      <c r="H203" s="26" t="s">
        <v>520</v>
      </c>
      <c r="I203" s="26" t="s">
        <v>49</v>
      </c>
      <c r="J203" s="27">
        <v>44515</v>
      </c>
      <c r="K203" s="27">
        <f t="shared" si="218"/>
        <v>44545</v>
      </c>
      <c r="L203" s="37">
        <v>901500</v>
      </c>
      <c r="M203" s="46">
        <f t="shared" ca="1" si="219"/>
        <v>557</v>
      </c>
      <c r="N203" s="57" t="str">
        <f t="shared" ref="N203:N208" ca="1" si="224">IF(M203=0," ",IF(M203&gt;=30,"Муддати тугаган"," "))</f>
        <v>Муддати тугаган</v>
      </c>
      <c r="O203" s="29">
        <f t="shared" ca="1" si="220"/>
        <v>901500</v>
      </c>
      <c r="P203" s="29" t="str">
        <f t="shared" ca="1" si="221"/>
        <v/>
      </c>
      <c r="Q203" s="29" t="str">
        <f t="shared" ca="1" si="222"/>
        <v/>
      </c>
      <c r="R203" s="29">
        <f t="shared" ca="1" si="223"/>
        <v>901500</v>
      </c>
      <c r="S203" s="20"/>
    </row>
    <row r="204" spans="2:19" x14ac:dyDescent="0.2">
      <c r="B204" s="13" t="s">
        <v>611</v>
      </c>
      <c r="C204" s="40">
        <v>207112585</v>
      </c>
      <c r="D204" s="14"/>
      <c r="E204" s="14"/>
      <c r="F204" s="15" t="s">
        <v>13</v>
      </c>
      <c r="G204" s="15" t="s">
        <v>392</v>
      </c>
      <c r="H204" s="15" t="s">
        <v>520</v>
      </c>
      <c r="I204" s="15" t="s">
        <v>581</v>
      </c>
      <c r="J204" s="16">
        <v>45035</v>
      </c>
      <c r="K204" s="16">
        <f t="shared" si="218"/>
        <v>45065</v>
      </c>
      <c r="L204" s="17">
        <v>5280000</v>
      </c>
      <c r="M204" s="45">
        <f t="shared" ca="1" si="219"/>
        <v>37</v>
      </c>
      <c r="N204" s="18" t="str">
        <f t="shared" ca="1" si="224"/>
        <v>Муддати тугаган</v>
      </c>
      <c r="O204" s="19">
        <f t="shared" ca="1" si="220"/>
        <v>5280000</v>
      </c>
      <c r="P204" s="19">
        <f t="shared" ca="1" si="221"/>
        <v>5280000</v>
      </c>
      <c r="Q204" s="19" t="str">
        <f t="shared" ca="1" si="222"/>
        <v/>
      </c>
      <c r="R204" s="19" t="str">
        <f t="shared" ca="1" si="223"/>
        <v xml:space="preserve"> </v>
      </c>
      <c r="S204" s="20"/>
    </row>
    <row r="205" spans="2:19" x14ac:dyDescent="0.2">
      <c r="B205" s="13" t="s">
        <v>324</v>
      </c>
      <c r="C205" s="40">
        <v>201831090</v>
      </c>
      <c r="D205" s="14">
        <v>997006039</v>
      </c>
      <c r="E205" s="14"/>
      <c r="F205" s="15" t="s">
        <v>36</v>
      </c>
      <c r="G205" s="15" t="s">
        <v>303</v>
      </c>
      <c r="H205" s="15" t="s">
        <v>520</v>
      </c>
      <c r="I205" s="15" t="s">
        <v>39</v>
      </c>
      <c r="J205" s="16">
        <v>44823</v>
      </c>
      <c r="K205" s="16">
        <f t="shared" ref="K205:K215" si="225">IF(J205&gt;0,J205+30," ")</f>
        <v>44853</v>
      </c>
      <c r="L205" s="17">
        <v>6723000</v>
      </c>
      <c r="M205" s="45">
        <f t="shared" ref="M205:M215" ca="1" si="226">IF(J205&gt;0,(+$B$1-J205),)</f>
        <v>249</v>
      </c>
      <c r="N205" s="18" t="str">
        <f t="shared" ca="1" si="224"/>
        <v>Муддати тугаган</v>
      </c>
      <c r="O205" s="19">
        <f t="shared" ref="O205:O215" ca="1" si="227">IF(M205&gt;=30,L205, " ")</f>
        <v>6723000</v>
      </c>
      <c r="P205" s="19" t="str">
        <f t="shared" ref="P205:P215" ca="1" si="228">IF(M205&gt;60,"",(IF(M205&gt;30,O205, "")))</f>
        <v/>
      </c>
      <c r="Q205" s="19" t="str">
        <f t="shared" ref="Q205:Q215" ca="1" si="229">IF(M205&gt;90,"",(IF(M205&gt;60,O205, "")))</f>
        <v/>
      </c>
      <c r="R205" s="19">
        <f t="shared" ref="R205:R215" ca="1" si="230">IF(M205&gt;90,L205, " ")</f>
        <v>6723000</v>
      </c>
      <c r="S205" s="20"/>
    </row>
    <row r="206" spans="2:19" x14ac:dyDescent="0.2">
      <c r="B206" s="13" t="s">
        <v>325</v>
      </c>
      <c r="C206" s="40">
        <v>306832828</v>
      </c>
      <c r="D206" s="14">
        <v>993160616</v>
      </c>
      <c r="E206" s="14"/>
      <c r="F206" s="15" t="s">
        <v>15</v>
      </c>
      <c r="G206" s="15" t="s">
        <v>156</v>
      </c>
      <c r="H206" s="15" t="s">
        <v>520</v>
      </c>
      <c r="I206" s="15" t="s">
        <v>16</v>
      </c>
      <c r="J206" s="16">
        <v>44951</v>
      </c>
      <c r="K206" s="16">
        <f t="shared" si="225"/>
        <v>44981</v>
      </c>
      <c r="L206" s="17">
        <v>628100</v>
      </c>
      <c r="M206" s="45">
        <f t="shared" ca="1" si="226"/>
        <v>121</v>
      </c>
      <c r="N206" s="18" t="str">
        <f t="shared" ca="1" si="224"/>
        <v>Муддати тугаган</v>
      </c>
      <c r="O206" s="19">
        <f t="shared" ca="1" si="227"/>
        <v>628100</v>
      </c>
      <c r="P206" s="19" t="str">
        <f t="shared" ca="1" si="228"/>
        <v/>
      </c>
      <c r="Q206" s="19" t="str">
        <f t="shared" ca="1" si="229"/>
        <v/>
      </c>
      <c r="R206" s="19">
        <f t="shared" ca="1" si="230"/>
        <v>628100</v>
      </c>
      <c r="S206" s="20"/>
    </row>
    <row r="207" spans="2:19" x14ac:dyDescent="0.2">
      <c r="B207" s="13" t="s">
        <v>326</v>
      </c>
      <c r="C207" s="40">
        <v>309312103</v>
      </c>
      <c r="D207" s="14">
        <v>911844447</v>
      </c>
      <c r="E207" s="14"/>
      <c r="F207" s="15" t="s">
        <v>55</v>
      </c>
      <c r="G207" s="15" t="s">
        <v>55</v>
      </c>
      <c r="H207" s="15" t="s">
        <v>520</v>
      </c>
      <c r="I207" s="15" t="s">
        <v>59</v>
      </c>
      <c r="J207" s="16">
        <v>44658</v>
      </c>
      <c r="K207" s="16">
        <f t="shared" si="225"/>
        <v>44688</v>
      </c>
      <c r="L207" s="17">
        <v>865400</v>
      </c>
      <c r="M207" s="45">
        <f t="shared" ca="1" si="226"/>
        <v>414</v>
      </c>
      <c r="N207" s="18" t="str">
        <f t="shared" ca="1" si="224"/>
        <v>Муддати тугаган</v>
      </c>
      <c r="O207" s="19">
        <f t="shared" ca="1" si="227"/>
        <v>865400</v>
      </c>
      <c r="P207" s="19" t="str">
        <f t="shared" ca="1" si="228"/>
        <v/>
      </c>
      <c r="Q207" s="19" t="str">
        <f t="shared" ca="1" si="229"/>
        <v/>
      </c>
      <c r="R207" s="19">
        <f t="shared" ca="1" si="230"/>
        <v>865400</v>
      </c>
      <c r="S207" s="20"/>
    </row>
    <row r="208" spans="2:19" x14ac:dyDescent="0.2">
      <c r="B208" s="13" t="s">
        <v>327</v>
      </c>
      <c r="C208" s="40">
        <v>309044681</v>
      </c>
      <c r="D208" s="14">
        <v>933462002</v>
      </c>
      <c r="E208" s="14"/>
      <c r="F208" s="15" t="s">
        <v>64</v>
      </c>
      <c r="G208" s="15" t="s">
        <v>146</v>
      </c>
      <c r="H208" s="15" t="s">
        <v>520</v>
      </c>
      <c r="I208" s="15" t="s">
        <v>68</v>
      </c>
      <c r="J208" s="16">
        <v>44824</v>
      </c>
      <c r="K208" s="16">
        <f t="shared" si="225"/>
        <v>44854</v>
      </c>
      <c r="L208" s="17">
        <v>1132550</v>
      </c>
      <c r="M208" s="45">
        <f t="shared" ca="1" si="226"/>
        <v>248</v>
      </c>
      <c r="N208" s="18" t="str">
        <f t="shared" ca="1" si="224"/>
        <v>Муддати тугаган</v>
      </c>
      <c r="O208" s="19">
        <f t="shared" ca="1" si="227"/>
        <v>1132550</v>
      </c>
      <c r="P208" s="19" t="str">
        <f t="shared" ca="1" si="228"/>
        <v/>
      </c>
      <c r="Q208" s="19" t="str">
        <f t="shared" ca="1" si="229"/>
        <v/>
      </c>
      <c r="R208" s="19">
        <f t="shared" ca="1" si="230"/>
        <v>1132550</v>
      </c>
      <c r="S208" s="20"/>
    </row>
    <row r="209" spans="2:19" x14ac:dyDescent="0.2">
      <c r="B209" s="13" t="s">
        <v>328</v>
      </c>
      <c r="C209" s="40">
        <v>305779514</v>
      </c>
      <c r="D209" s="14">
        <v>977337367</v>
      </c>
      <c r="E209" s="14"/>
      <c r="F209" s="15" t="s">
        <v>24</v>
      </c>
      <c r="G209" s="15" t="s">
        <v>93</v>
      </c>
      <c r="H209" s="15" t="s">
        <v>520</v>
      </c>
      <c r="I209" s="15" t="s">
        <v>83</v>
      </c>
      <c r="J209" s="16">
        <v>44852</v>
      </c>
      <c r="K209" s="16">
        <f t="shared" si="225"/>
        <v>44882</v>
      </c>
      <c r="L209" s="17">
        <v>57300</v>
      </c>
      <c r="M209" s="45">
        <f t="shared" ca="1" si="226"/>
        <v>220</v>
      </c>
      <c r="N209" s="18" t="str">
        <f t="shared" ref="N209:N216" ca="1" si="231">IF(M209=0," ",IF(M209&gt;=30,"Муддати тугаган"," "))</f>
        <v>Муддати тугаган</v>
      </c>
      <c r="O209" s="19">
        <f t="shared" ca="1" si="227"/>
        <v>57300</v>
      </c>
      <c r="P209" s="19" t="str">
        <f t="shared" ca="1" si="228"/>
        <v/>
      </c>
      <c r="Q209" s="19" t="str">
        <f t="shared" ca="1" si="229"/>
        <v/>
      </c>
      <c r="R209" s="19">
        <f t="shared" ca="1" si="230"/>
        <v>57300</v>
      </c>
      <c r="S209" s="20"/>
    </row>
    <row r="210" spans="2:19" x14ac:dyDescent="0.2">
      <c r="B210" s="13" t="s">
        <v>328</v>
      </c>
      <c r="C210" s="40">
        <v>305779514</v>
      </c>
      <c r="D210" s="14">
        <v>977337367</v>
      </c>
      <c r="E210" s="14"/>
      <c r="F210" s="15" t="s">
        <v>24</v>
      </c>
      <c r="G210" s="15" t="s">
        <v>93</v>
      </c>
      <c r="H210" s="15" t="s">
        <v>520</v>
      </c>
      <c r="I210" s="15" t="s">
        <v>83</v>
      </c>
      <c r="J210" s="16">
        <v>44879</v>
      </c>
      <c r="K210" s="16">
        <f t="shared" si="225"/>
        <v>44909</v>
      </c>
      <c r="L210" s="17">
        <v>1325000</v>
      </c>
      <c r="M210" s="45">
        <f t="shared" ca="1" si="226"/>
        <v>193</v>
      </c>
      <c r="N210" s="18" t="str">
        <f t="shared" ca="1" si="231"/>
        <v>Муддати тугаган</v>
      </c>
      <c r="O210" s="19">
        <f t="shared" ca="1" si="227"/>
        <v>1325000</v>
      </c>
      <c r="P210" s="19" t="str">
        <f t="shared" ca="1" si="228"/>
        <v/>
      </c>
      <c r="Q210" s="19" t="str">
        <f t="shared" ca="1" si="229"/>
        <v/>
      </c>
      <c r="R210" s="19">
        <f t="shared" ca="1" si="230"/>
        <v>1325000</v>
      </c>
      <c r="S210" s="20"/>
    </row>
    <row r="211" spans="2:19" x14ac:dyDescent="0.2">
      <c r="B211" s="13" t="s">
        <v>329</v>
      </c>
      <c r="C211" s="40">
        <v>206677137</v>
      </c>
      <c r="D211" s="14">
        <v>942704643</v>
      </c>
      <c r="E211" s="14"/>
      <c r="F211" s="15" t="s">
        <v>55</v>
      </c>
      <c r="G211" s="15" t="s">
        <v>308</v>
      </c>
      <c r="H211" s="15" t="s">
        <v>520</v>
      </c>
      <c r="I211" s="15" t="s">
        <v>614</v>
      </c>
      <c r="J211" s="16">
        <v>44952</v>
      </c>
      <c r="K211" s="16">
        <f t="shared" si="225"/>
        <v>44982</v>
      </c>
      <c r="L211" s="17">
        <v>5339600</v>
      </c>
      <c r="M211" s="45">
        <f t="shared" ca="1" si="226"/>
        <v>120</v>
      </c>
      <c r="N211" s="18" t="str">
        <f t="shared" ca="1" si="231"/>
        <v>Муддати тугаган</v>
      </c>
      <c r="O211" s="19">
        <f t="shared" ca="1" si="227"/>
        <v>5339600</v>
      </c>
      <c r="P211" s="19" t="str">
        <f t="shared" ca="1" si="228"/>
        <v/>
      </c>
      <c r="Q211" s="19" t="str">
        <f t="shared" ca="1" si="229"/>
        <v/>
      </c>
      <c r="R211" s="19">
        <f t="shared" ca="1" si="230"/>
        <v>5339600</v>
      </c>
      <c r="S211" s="20"/>
    </row>
    <row r="212" spans="2:19" x14ac:dyDescent="0.2">
      <c r="B212" s="13" t="s">
        <v>330</v>
      </c>
      <c r="C212" s="40">
        <v>201225385</v>
      </c>
      <c r="D212" s="14">
        <v>905363600</v>
      </c>
      <c r="E212" s="14"/>
      <c r="F212" s="15" t="s">
        <v>24</v>
      </c>
      <c r="G212" s="15" t="s">
        <v>132</v>
      </c>
      <c r="H212" s="15" t="s">
        <v>520</v>
      </c>
      <c r="I212" s="15" t="s">
        <v>26</v>
      </c>
      <c r="J212" s="16">
        <v>44945</v>
      </c>
      <c r="K212" s="16">
        <f t="shared" si="225"/>
        <v>44975</v>
      </c>
      <c r="L212" s="17">
        <v>4663450</v>
      </c>
      <c r="M212" s="45">
        <f t="shared" ca="1" si="226"/>
        <v>127</v>
      </c>
      <c r="N212" s="18" t="str">
        <f t="shared" ca="1" si="231"/>
        <v>Муддати тугаган</v>
      </c>
      <c r="O212" s="19">
        <f t="shared" ca="1" si="227"/>
        <v>4663450</v>
      </c>
      <c r="P212" s="19" t="str">
        <f t="shared" ca="1" si="228"/>
        <v/>
      </c>
      <c r="Q212" s="19" t="str">
        <f t="shared" ca="1" si="229"/>
        <v/>
      </c>
      <c r="R212" s="19">
        <f t="shared" ca="1" si="230"/>
        <v>4663450</v>
      </c>
      <c r="S212" s="20"/>
    </row>
    <row r="213" spans="2:19" x14ac:dyDescent="0.2">
      <c r="B213" s="13" t="s">
        <v>331</v>
      </c>
      <c r="C213" s="40">
        <v>302488808</v>
      </c>
      <c r="D213" s="14">
        <v>905129200</v>
      </c>
      <c r="E213" s="14"/>
      <c r="F213" s="15" t="s">
        <v>522</v>
      </c>
      <c r="G213" s="15" t="s">
        <v>36</v>
      </c>
      <c r="H213" s="15" t="s">
        <v>508</v>
      </c>
      <c r="I213" s="15" t="s">
        <v>516</v>
      </c>
      <c r="J213" s="16">
        <v>45027</v>
      </c>
      <c r="K213" s="16">
        <f t="shared" si="225"/>
        <v>45057</v>
      </c>
      <c r="L213" s="17">
        <v>672000</v>
      </c>
      <c r="M213" s="45">
        <f t="shared" ca="1" si="226"/>
        <v>45</v>
      </c>
      <c r="N213" s="18" t="str">
        <f t="shared" ca="1" si="231"/>
        <v>Муддати тугаган</v>
      </c>
      <c r="O213" s="19">
        <f t="shared" ca="1" si="227"/>
        <v>672000</v>
      </c>
      <c r="P213" s="19">
        <f t="shared" ca="1" si="228"/>
        <v>672000</v>
      </c>
      <c r="Q213" s="19" t="str">
        <f t="shared" ca="1" si="229"/>
        <v/>
      </c>
      <c r="R213" s="19" t="str">
        <f t="shared" ca="1" si="230"/>
        <v xml:space="preserve"> </v>
      </c>
      <c r="S213" s="20"/>
    </row>
    <row r="214" spans="2:19" x14ac:dyDescent="0.2">
      <c r="B214" s="13" t="s">
        <v>331</v>
      </c>
      <c r="C214" s="40">
        <v>302488808</v>
      </c>
      <c r="D214" s="14">
        <v>905129200</v>
      </c>
      <c r="E214" s="14"/>
      <c r="F214" s="15" t="s">
        <v>522</v>
      </c>
      <c r="G214" s="15" t="s">
        <v>36</v>
      </c>
      <c r="H214" s="15" t="s">
        <v>508</v>
      </c>
      <c r="I214" s="15" t="s">
        <v>516</v>
      </c>
      <c r="J214" s="16">
        <v>45033</v>
      </c>
      <c r="K214" s="16">
        <f t="shared" si="225"/>
        <v>45063</v>
      </c>
      <c r="L214" s="17">
        <v>1518000</v>
      </c>
      <c r="M214" s="45">
        <f t="shared" ca="1" si="226"/>
        <v>39</v>
      </c>
      <c r="N214" s="18" t="str">
        <f t="shared" ca="1" si="231"/>
        <v>Муддати тугаган</v>
      </c>
      <c r="O214" s="19">
        <f t="shared" ca="1" si="227"/>
        <v>1518000</v>
      </c>
      <c r="P214" s="19">
        <f t="shared" ca="1" si="228"/>
        <v>1518000</v>
      </c>
      <c r="Q214" s="19" t="str">
        <f t="shared" ca="1" si="229"/>
        <v/>
      </c>
      <c r="R214" s="19" t="str">
        <f t="shared" ca="1" si="230"/>
        <v xml:space="preserve"> </v>
      </c>
      <c r="S214" s="20"/>
    </row>
    <row r="215" spans="2:19" x14ac:dyDescent="0.2">
      <c r="B215" s="13" t="s">
        <v>331</v>
      </c>
      <c r="C215" s="40">
        <v>302488808</v>
      </c>
      <c r="D215" s="14">
        <v>905129200</v>
      </c>
      <c r="E215" s="14"/>
      <c r="F215" s="15" t="s">
        <v>522</v>
      </c>
      <c r="G215" s="15" t="s">
        <v>36</v>
      </c>
      <c r="H215" s="15" t="s">
        <v>508</v>
      </c>
      <c r="I215" s="15" t="s">
        <v>516</v>
      </c>
      <c r="J215" s="16">
        <v>45041</v>
      </c>
      <c r="K215" s="16">
        <f t="shared" si="225"/>
        <v>45071</v>
      </c>
      <c r="L215" s="17">
        <v>1770000</v>
      </c>
      <c r="M215" s="45">
        <f t="shared" ca="1" si="226"/>
        <v>31</v>
      </c>
      <c r="N215" s="18" t="str">
        <f t="shared" ca="1" si="231"/>
        <v>Муддати тугаган</v>
      </c>
      <c r="O215" s="19">
        <f t="shared" ca="1" si="227"/>
        <v>1770000</v>
      </c>
      <c r="P215" s="19">
        <f t="shared" ca="1" si="228"/>
        <v>1770000</v>
      </c>
      <c r="Q215" s="19" t="str">
        <f t="shared" ca="1" si="229"/>
        <v/>
      </c>
      <c r="R215" s="19" t="str">
        <f t="shared" ca="1" si="230"/>
        <v xml:space="preserve"> </v>
      </c>
      <c r="S215" s="20"/>
    </row>
    <row r="216" spans="2:19" x14ac:dyDescent="0.2">
      <c r="B216" s="13" t="s">
        <v>354</v>
      </c>
      <c r="C216" s="40">
        <v>308051144</v>
      </c>
      <c r="D216" s="14"/>
      <c r="E216" s="14"/>
      <c r="F216" s="15" t="s">
        <v>24</v>
      </c>
      <c r="G216" s="15" t="s">
        <v>119</v>
      </c>
      <c r="H216" s="15" t="s">
        <v>520</v>
      </c>
      <c r="I216" s="15" t="s">
        <v>101</v>
      </c>
      <c r="J216" s="16">
        <v>44915</v>
      </c>
      <c r="K216" s="16">
        <f t="shared" ref="K216:K217" si="232">IF(J216&gt;0,J216+30," ")</f>
        <v>44945</v>
      </c>
      <c r="L216" s="17">
        <v>9122000</v>
      </c>
      <c r="M216" s="45">
        <f t="shared" ref="M216:M217" ca="1" si="233">IF(J216&gt;0,(+$B$1-J216),)</f>
        <v>157</v>
      </c>
      <c r="N216" s="18" t="str">
        <f t="shared" ca="1" si="231"/>
        <v>Муддати тугаган</v>
      </c>
      <c r="O216" s="19">
        <f t="shared" ref="O216:O217" ca="1" si="234">IF(M216&gt;=30,L216, " ")</f>
        <v>9122000</v>
      </c>
      <c r="P216" s="19" t="str">
        <f t="shared" ref="P216:P217" ca="1" si="235">IF(M216&gt;60,"",(IF(M216&gt;30,O216, "")))</f>
        <v/>
      </c>
      <c r="Q216" s="19" t="str">
        <f t="shared" ref="Q216:Q217" ca="1" si="236">IF(M216&gt;90,"",(IF(M216&gt;60,O216, "")))</f>
        <v/>
      </c>
      <c r="R216" s="19">
        <f t="shared" ref="R216:R217" ca="1" si="237">IF(M216&gt;90,L216, " ")</f>
        <v>9122000</v>
      </c>
      <c r="S216" s="20"/>
    </row>
    <row r="217" spans="2:19" x14ac:dyDescent="0.2">
      <c r="B217" s="13" t="s">
        <v>332</v>
      </c>
      <c r="C217" s="40">
        <v>305165771</v>
      </c>
      <c r="D217" s="14">
        <v>994995431</v>
      </c>
      <c r="E217" s="14"/>
      <c r="F217" s="15" t="s">
        <v>30</v>
      </c>
      <c r="G217" s="15" t="s">
        <v>30</v>
      </c>
      <c r="H217" s="15" t="s">
        <v>520</v>
      </c>
      <c r="I217" s="15" t="s">
        <v>33</v>
      </c>
      <c r="J217" s="16">
        <v>44666</v>
      </c>
      <c r="K217" s="16">
        <f t="shared" si="232"/>
        <v>44696</v>
      </c>
      <c r="L217" s="17">
        <v>49500</v>
      </c>
      <c r="M217" s="45">
        <f t="shared" ca="1" si="233"/>
        <v>406</v>
      </c>
      <c r="N217" s="18" t="str">
        <f t="shared" ref="N217:N219" ca="1" si="238">IF(M217=0," ",IF(M217&gt;=30,"Муддати тугаган"," "))</f>
        <v>Муддати тугаган</v>
      </c>
      <c r="O217" s="19">
        <f t="shared" ca="1" si="234"/>
        <v>49500</v>
      </c>
      <c r="P217" s="19" t="str">
        <f t="shared" ca="1" si="235"/>
        <v/>
      </c>
      <c r="Q217" s="19" t="str">
        <f t="shared" ca="1" si="236"/>
        <v/>
      </c>
      <c r="R217" s="19">
        <f t="shared" ca="1" si="237"/>
        <v>49500</v>
      </c>
      <c r="S217" s="20"/>
    </row>
    <row r="218" spans="2:19" x14ac:dyDescent="0.2">
      <c r="B218" s="24" t="s">
        <v>334</v>
      </c>
      <c r="C218" s="43">
        <v>203994172</v>
      </c>
      <c r="D218" s="25">
        <v>975780475</v>
      </c>
      <c r="E218" s="14"/>
      <c r="F218" s="26" t="s">
        <v>64</v>
      </c>
      <c r="G218" s="26" t="s">
        <v>169</v>
      </c>
      <c r="H218" s="26" t="s">
        <v>520</v>
      </c>
      <c r="I218" s="26" t="s">
        <v>65</v>
      </c>
      <c r="J218" s="27">
        <v>44209</v>
      </c>
      <c r="K218" s="27">
        <f t="shared" ref="K218:K225" si="239">IF(J218&gt;0,J218+30," ")</f>
        <v>44239</v>
      </c>
      <c r="L218" s="37">
        <v>954000</v>
      </c>
      <c r="M218" s="46">
        <f t="shared" ref="M218:M225" ca="1" si="240">IF(J218&gt;0,(+$B$1-J218),)</f>
        <v>863</v>
      </c>
      <c r="N218" s="57" t="str">
        <f t="shared" ca="1" si="238"/>
        <v>Муддати тугаган</v>
      </c>
      <c r="O218" s="29">
        <f t="shared" ref="O218:O225" ca="1" si="241">IF(M218&gt;=30,L218, " ")</f>
        <v>954000</v>
      </c>
      <c r="P218" s="29" t="str">
        <f t="shared" ref="P218:P225" ca="1" si="242">IF(M218&gt;60,"",(IF(M218&gt;30,O218, "")))</f>
        <v/>
      </c>
      <c r="Q218" s="29" t="str">
        <f t="shared" ref="Q218:Q225" ca="1" si="243">IF(M218&gt;90,"",(IF(M218&gt;60,O218, "")))</f>
        <v/>
      </c>
      <c r="R218" s="29">
        <f t="shared" ref="R218:R225" ca="1" si="244">IF(M218&gt;90,L218, " ")</f>
        <v>954000</v>
      </c>
      <c r="S218" s="20"/>
    </row>
    <row r="219" spans="2:19" x14ac:dyDescent="0.2">
      <c r="B219" s="13" t="s">
        <v>335</v>
      </c>
      <c r="C219" s="40">
        <v>307818408</v>
      </c>
      <c r="D219" s="14">
        <v>941071757</v>
      </c>
      <c r="E219" s="14"/>
      <c r="F219" s="15" t="s">
        <v>521</v>
      </c>
      <c r="G219" s="15" t="s">
        <v>336</v>
      </c>
      <c r="H219" s="15" t="s">
        <v>508</v>
      </c>
      <c r="I219" s="15" t="s">
        <v>511</v>
      </c>
      <c r="J219" s="16">
        <v>44812</v>
      </c>
      <c r="K219" s="16">
        <f t="shared" si="239"/>
        <v>44842</v>
      </c>
      <c r="L219" s="17">
        <v>1204000</v>
      </c>
      <c r="M219" s="45">
        <f t="shared" ca="1" si="240"/>
        <v>260</v>
      </c>
      <c r="N219" s="18" t="str">
        <f t="shared" ca="1" si="238"/>
        <v>Муддати тугаган</v>
      </c>
      <c r="O219" s="19">
        <f t="shared" ca="1" si="241"/>
        <v>1204000</v>
      </c>
      <c r="P219" s="19" t="str">
        <f t="shared" ca="1" si="242"/>
        <v/>
      </c>
      <c r="Q219" s="19" t="str">
        <f t="shared" ca="1" si="243"/>
        <v/>
      </c>
      <c r="R219" s="19">
        <f t="shared" ca="1" si="244"/>
        <v>1204000</v>
      </c>
      <c r="S219" s="20"/>
    </row>
    <row r="220" spans="2:19" x14ac:dyDescent="0.2">
      <c r="B220" s="13" t="s">
        <v>337</v>
      </c>
      <c r="C220" s="40">
        <v>203381209</v>
      </c>
      <c r="D220" s="14">
        <v>998871041</v>
      </c>
      <c r="E220" s="14"/>
      <c r="F220" s="15" t="s">
        <v>13</v>
      </c>
      <c r="G220" s="15" t="s">
        <v>214</v>
      </c>
      <c r="H220" s="15" t="s">
        <v>520</v>
      </c>
      <c r="I220" s="15" t="s">
        <v>215</v>
      </c>
      <c r="J220" s="16">
        <v>44974</v>
      </c>
      <c r="K220" s="16">
        <f t="shared" si="239"/>
        <v>45004</v>
      </c>
      <c r="L220" s="17">
        <v>31000</v>
      </c>
      <c r="M220" s="45">
        <f t="shared" ca="1" si="240"/>
        <v>98</v>
      </c>
      <c r="N220" s="18" t="str">
        <f t="shared" ref="N220:N226" ca="1" si="245">IF(M220=0," ",IF(M220&gt;=30,"Муддати тугаган"," "))</f>
        <v>Муддати тугаган</v>
      </c>
      <c r="O220" s="19">
        <f t="shared" ca="1" si="241"/>
        <v>31000</v>
      </c>
      <c r="P220" s="19" t="str">
        <f t="shared" ca="1" si="242"/>
        <v/>
      </c>
      <c r="Q220" s="19" t="str">
        <f t="shared" ca="1" si="243"/>
        <v/>
      </c>
      <c r="R220" s="19">
        <f t="shared" ca="1" si="244"/>
        <v>31000</v>
      </c>
      <c r="S220" s="20"/>
    </row>
    <row r="221" spans="2:19" x14ac:dyDescent="0.2">
      <c r="B221" s="13" t="s">
        <v>338</v>
      </c>
      <c r="C221" s="40">
        <v>303252064</v>
      </c>
      <c r="D221" s="14"/>
      <c r="E221" s="14"/>
      <c r="F221" s="15" t="s">
        <v>15</v>
      </c>
      <c r="G221" s="15" t="s">
        <v>156</v>
      </c>
      <c r="H221" s="15" t="s">
        <v>520</v>
      </c>
      <c r="I221" s="15" t="s">
        <v>16</v>
      </c>
      <c r="J221" s="16">
        <v>44956</v>
      </c>
      <c r="K221" s="16">
        <f t="shared" si="239"/>
        <v>44986</v>
      </c>
      <c r="L221" s="17">
        <v>4448675</v>
      </c>
      <c r="M221" s="45">
        <f t="shared" ca="1" si="240"/>
        <v>116</v>
      </c>
      <c r="N221" s="18" t="str">
        <f t="shared" ca="1" si="245"/>
        <v>Муддати тугаган</v>
      </c>
      <c r="O221" s="19">
        <f t="shared" ca="1" si="241"/>
        <v>4448675</v>
      </c>
      <c r="P221" s="19" t="str">
        <f t="shared" ca="1" si="242"/>
        <v/>
      </c>
      <c r="Q221" s="19" t="str">
        <f t="shared" ca="1" si="243"/>
        <v/>
      </c>
      <c r="R221" s="19">
        <f t="shared" ca="1" si="244"/>
        <v>4448675</v>
      </c>
      <c r="S221" s="20"/>
    </row>
    <row r="222" spans="2:19" x14ac:dyDescent="0.2">
      <c r="B222" s="13" t="s">
        <v>338</v>
      </c>
      <c r="C222" s="40">
        <v>303252064</v>
      </c>
      <c r="D222" s="14"/>
      <c r="E222" s="14"/>
      <c r="F222" s="15" t="s">
        <v>15</v>
      </c>
      <c r="G222" s="15" t="s">
        <v>156</v>
      </c>
      <c r="H222" s="15" t="s">
        <v>520</v>
      </c>
      <c r="I222" s="15" t="s">
        <v>16</v>
      </c>
      <c r="J222" s="16">
        <v>45021</v>
      </c>
      <c r="K222" s="16">
        <f t="shared" si="239"/>
        <v>45051</v>
      </c>
      <c r="L222" s="17">
        <v>449600</v>
      </c>
      <c r="M222" s="45">
        <f t="shared" ca="1" si="240"/>
        <v>51</v>
      </c>
      <c r="N222" s="18" t="str">
        <f t="shared" ca="1" si="245"/>
        <v>Муддати тугаган</v>
      </c>
      <c r="O222" s="19">
        <f t="shared" ca="1" si="241"/>
        <v>449600</v>
      </c>
      <c r="P222" s="19">
        <f t="shared" ca="1" si="242"/>
        <v>449600</v>
      </c>
      <c r="Q222" s="19" t="str">
        <f t="shared" ca="1" si="243"/>
        <v/>
      </c>
      <c r="R222" s="19" t="str">
        <f t="shared" ca="1" si="244"/>
        <v xml:space="preserve"> </v>
      </c>
      <c r="S222" s="20"/>
    </row>
    <row r="223" spans="2:19" x14ac:dyDescent="0.2">
      <c r="B223" s="13" t="s">
        <v>338</v>
      </c>
      <c r="C223" s="40">
        <v>303252064</v>
      </c>
      <c r="D223" s="14"/>
      <c r="E223" s="14"/>
      <c r="F223" s="15" t="s">
        <v>15</v>
      </c>
      <c r="G223" s="15" t="s">
        <v>156</v>
      </c>
      <c r="H223" s="15" t="s">
        <v>520</v>
      </c>
      <c r="I223" s="15" t="s">
        <v>16</v>
      </c>
      <c r="J223" s="16">
        <v>45036</v>
      </c>
      <c r="K223" s="16">
        <f t="shared" si="239"/>
        <v>45066</v>
      </c>
      <c r="L223" s="17">
        <v>2277000</v>
      </c>
      <c r="M223" s="45">
        <f t="shared" ca="1" si="240"/>
        <v>36</v>
      </c>
      <c r="N223" s="18" t="str">
        <f t="shared" ca="1" si="245"/>
        <v>Муддати тугаган</v>
      </c>
      <c r="O223" s="19">
        <f t="shared" ca="1" si="241"/>
        <v>2277000</v>
      </c>
      <c r="P223" s="19">
        <f t="shared" ca="1" si="242"/>
        <v>2277000</v>
      </c>
      <c r="Q223" s="19" t="str">
        <f t="shared" ca="1" si="243"/>
        <v/>
      </c>
      <c r="R223" s="19" t="str">
        <f t="shared" ca="1" si="244"/>
        <v xml:space="preserve"> </v>
      </c>
      <c r="S223" s="20"/>
    </row>
    <row r="224" spans="2:19" x14ac:dyDescent="0.2">
      <c r="B224" s="13" t="s">
        <v>586</v>
      </c>
      <c r="C224" s="40">
        <v>309364822</v>
      </c>
      <c r="D224" s="14">
        <v>882440208</v>
      </c>
      <c r="E224" s="14"/>
      <c r="F224" s="15" t="s">
        <v>21</v>
      </c>
      <c r="G224" s="15" t="s">
        <v>95</v>
      </c>
      <c r="H224" s="15" t="s">
        <v>520</v>
      </c>
      <c r="I224" s="15" t="s">
        <v>23</v>
      </c>
      <c r="J224" s="16">
        <v>45022</v>
      </c>
      <c r="K224" s="16">
        <f t="shared" si="239"/>
        <v>45052</v>
      </c>
      <c r="L224" s="17">
        <v>1561000</v>
      </c>
      <c r="M224" s="45">
        <f t="shared" ca="1" si="240"/>
        <v>50</v>
      </c>
      <c r="N224" s="18" t="str">
        <f t="shared" ca="1" si="245"/>
        <v>Муддати тугаган</v>
      </c>
      <c r="O224" s="19">
        <f t="shared" ca="1" si="241"/>
        <v>1561000</v>
      </c>
      <c r="P224" s="19">
        <f t="shared" ca="1" si="242"/>
        <v>1561000</v>
      </c>
      <c r="Q224" s="19" t="str">
        <f t="shared" ca="1" si="243"/>
        <v/>
      </c>
      <c r="R224" s="19" t="str">
        <f t="shared" ca="1" si="244"/>
        <v xml:space="preserve"> </v>
      </c>
      <c r="S224" s="11"/>
    </row>
    <row r="225" spans="2:19" x14ac:dyDescent="0.2">
      <c r="B225" s="13" t="s">
        <v>339</v>
      </c>
      <c r="C225" s="40">
        <v>301039645</v>
      </c>
      <c r="D225" s="14">
        <v>913500003</v>
      </c>
      <c r="E225" s="14"/>
      <c r="F225" s="15" t="s">
        <v>55</v>
      </c>
      <c r="G225" s="15" t="s">
        <v>55</v>
      </c>
      <c r="H225" s="15" t="s">
        <v>520</v>
      </c>
      <c r="I225" s="15" t="s">
        <v>58</v>
      </c>
      <c r="J225" s="16">
        <v>44889</v>
      </c>
      <c r="K225" s="16">
        <f t="shared" si="239"/>
        <v>44919</v>
      </c>
      <c r="L225" s="17">
        <v>9259500</v>
      </c>
      <c r="M225" s="45">
        <f t="shared" ca="1" si="240"/>
        <v>183</v>
      </c>
      <c r="N225" s="18" t="str">
        <f t="shared" ca="1" si="245"/>
        <v>Муддати тугаган</v>
      </c>
      <c r="O225" s="19">
        <f t="shared" ca="1" si="241"/>
        <v>9259500</v>
      </c>
      <c r="P225" s="19" t="str">
        <f t="shared" ca="1" si="242"/>
        <v/>
      </c>
      <c r="Q225" s="19" t="str">
        <f t="shared" ca="1" si="243"/>
        <v/>
      </c>
      <c r="R225" s="19">
        <f t="shared" ca="1" si="244"/>
        <v>9259500</v>
      </c>
      <c r="S225" s="20"/>
    </row>
    <row r="226" spans="2:19" x14ac:dyDescent="0.2">
      <c r="B226" s="13" t="s">
        <v>340</v>
      </c>
      <c r="C226" s="40">
        <v>306879959</v>
      </c>
      <c r="D226" s="14"/>
      <c r="E226" s="14"/>
      <c r="F226" s="15" t="s">
        <v>30</v>
      </c>
      <c r="G226" s="15" t="s">
        <v>162</v>
      </c>
      <c r="H226" s="15" t="s">
        <v>520</v>
      </c>
      <c r="I226" s="15" t="s">
        <v>34</v>
      </c>
      <c r="J226" s="16">
        <v>44869</v>
      </c>
      <c r="K226" s="16">
        <f t="shared" ref="K226:K235" si="246">IF(J226&gt;0,J226+30," ")</f>
        <v>44899</v>
      </c>
      <c r="L226" s="17">
        <v>4025000</v>
      </c>
      <c r="M226" s="45">
        <f t="shared" ref="M226:M233" ca="1" si="247">IF(J226&gt;0,(+$B$1-J226),)</f>
        <v>203</v>
      </c>
      <c r="N226" s="18" t="str">
        <f t="shared" ca="1" si="245"/>
        <v>Муддати тугаган</v>
      </c>
      <c r="O226" s="19">
        <f t="shared" ref="O226:O233" ca="1" si="248">IF(M226&gt;=30,L226, " ")</f>
        <v>4025000</v>
      </c>
      <c r="P226" s="19" t="str">
        <f t="shared" ref="P226:P233" ca="1" si="249">IF(M226&gt;60,"",(IF(M226&gt;30,O226, "")))</f>
        <v/>
      </c>
      <c r="Q226" s="19" t="str">
        <f t="shared" ref="Q226:Q233" ca="1" si="250">IF(M226&gt;90,"",(IF(M226&gt;60,O226, "")))</f>
        <v/>
      </c>
      <c r="R226" s="19">
        <f t="shared" ref="R226:R233" ca="1" si="251">IF(M226&gt;90,L226, " ")</f>
        <v>4025000</v>
      </c>
      <c r="S226" s="20"/>
    </row>
    <row r="227" spans="2:19" x14ac:dyDescent="0.2">
      <c r="B227" s="13" t="s">
        <v>341</v>
      </c>
      <c r="C227" s="40">
        <v>307098807</v>
      </c>
      <c r="D227" s="14">
        <v>906924242</v>
      </c>
      <c r="E227" s="14"/>
      <c r="F227" s="15" t="s">
        <v>55</v>
      </c>
      <c r="G227" s="15" t="s">
        <v>55</v>
      </c>
      <c r="H227" s="15" t="s">
        <v>520</v>
      </c>
      <c r="I227" s="15" t="s">
        <v>60</v>
      </c>
      <c r="J227" s="16">
        <v>45026</v>
      </c>
      <c r="K227" s="16">
        <f t="shared" si="246"/>
        <v>45056</v>
      </c>
      <c r="L227" s="17">
        <v>7887500</v>
      </c>
      <c r="M227" s="45">
        <f t="shared" ca="1" si="247"/>
        <v>46</v>
      </c>
      <c r="N227" s="18" t="str">
        <f t="shared" ref="N227:N237" ca="1" si="252">IF(M227=0," ",IF(M227&gt;=30,"Муддати тугаган"," "))</f>
        <v>Муддати тугаган</v>
      </c>
      <c r="O227" s="19">
        <f t="shared" ca="1" si="248"/>
        <v>7887500</v>
      </c>
      <c r="P227" s="19">
        <f t="shared" ca="1" si="249"/>
        <v>7887500</v>
      </c>
      <c r="Q227" s="19" t="str">
        <f t="shared" ca="1" si="250"/>
        <v/>
      </c>
      <c r="R227" s="19" t="str">
        <f t="shared" ca="1" si="251"/>
        <v xml:space="preserve"> </v>
      </c>
      <c r="S227" s="20"/>
    </row>
    <row r="228" spans="2:19" x14ac:dyDescent="0.2">
      <c r="B228" s="13" t="s">
        <v>343</v>
      </c>
      <c r="C228" s="40">
        <v>305183473</v>
      </c>
      <c r="D228" s="14">
        <v>912497077</v>
      </c>
      <c r="E228" s="14"/>
      <c r="F228" s="15" t="s">
        <v>50</v>
      </c>
      <c r="G228" s="15" t="s">
        <v>50</v>
      </c>
      <c r="H228" s="15" t="s">
        <v>520</v>
      </c>
      <c r="I228" s="15" t="s">
        <v>51</v>
      </c>
      <c r="J228" s="16">
        <v>44995</v>
      </c>
      <c r="K228" s="16">
        <f t="shared" si="246"/>
        <v>45025</v>
      </c>
      <c r="L228" s="17">
        <v>3907250</v>
      </c>
      <c r="M228" s="45">
        <f t="shared" ca="1" si="247"/>
        <v>77</v>
      </c>
      <c r="N228" s="18" t="str">
        <f t="shared" ca="1" si="252"/>
        <v>Муддати тугаган</v>
      </c>
      <c r="O228" s="19">
        <f t="shared" ca="1" si="248"/>
        <v>3907250</v>
      </c>
      <c r="P228" s="19" t="str">
        <f t="shared" ca="1" si="249"/>
        <v/>
      </c>
      <c r="Q228" s="19">
        <f t="shared" ca="1" si="250"/>
        <v>3907250</v>
      </c>
      <c r="R228" s="19" t="str">
        <f t="shared" ca="1" si="251"/>
        <v xml:space="preserve"> </v>
      </c>
      <c r="S228" s="20"/>
    </row>
    <row r="229" spans="2:19" x14ac:dyDescent="0.2">
      <c r="B229" s="13" t="s">
        <v>596</v>
      </c>
      <c r="C229" s="40">
        <v>207140948</v>
      </c>
      <c r="D229" s="14">
        <v>998200595</v>
      </c>
      <c r="E229" s="14"/>
      <c r="F229" s="15" t="s">
        <v>13</v>
      </c>
      <c r="G229" s="15" t="s">
        <v>133</v>
      </c>
      <c r="H229" s="15" t="s">
        <v>520</v>
      </c>
      <c r="I229" s="15" t="s">
        <v>557</v>
      </c>
      <c r="J229" s="16">
        <v>45042</v>
      </c>
      <c r="K229" s="16">
        <f t="shared" si="246"/>
        <v>45072</v>
      </c>
      <c r="L229" s="17">
        <v>3392500</v>
      </c>
      <c r="M229" s="45">
        <f t="shared" ca="1" si="247"/>
        <v>30</v>
      </c>
      <c r="N229" s="18" t="str">
        <f t="shared" ca="1" si="252"/>
        <v>Муддати тугаган</v>
      </c>
      <c r="O229" s="19">
        <f t="shared" ca="1" si="248"/>
        <v>3392500</v>
      </c>
      <c r="P229" s="19" t="str">
        <f t="shared" ca="1" si="249"/>
        <v/>
      </c>
      <c r="Q229" s="19" t="str">
        <f t="shared" ca="1" si="250"/>
        <v/>
      </c>
      <c r="R229" s="19" t="str">
        <f t="shared" ca="1" si="251"/>
        <v xml:space="preserve"> </v>
      </c>
      <c r="S229" s="20"/>
    </row>
    <row r="230" spans="2:19" x14ac:dyDescent="0.2">
      <c r="B230" s="13" t="s">
        <v>344</v>
      </c>
      <c r="C230" s="40">
        <v>308232797</v>
      </c>
      <c r="D230" s="38">
        <v>909603111</v>
      </c>
      <c r="E230" s="14"/>
      <c r="F230" s="15" t="s">
        <v>45</v>
      </c>
      <c r="G230" s="15" t="s">
        <v>141</v>
      </c>
      <c r="H230" s="15" t="s">
        <v>520</v>
      </c>
      <c r="I230" s="15" t="s">
        <v>116</v>
      </c>
      <c r="J230" s="16">
        <v>44915</v>
      </c>
      <c r="K230" s="16">
        <f t="shared" si="246"/>
        <v>44945</v>
      </c>
      <c r="L230" s="17">
        <v>800500</v>
      </c>
      <c r="M230" s="45">
        <f t="shared" ca="1" si="247"/>
        <v>157</v>
      </c>
      <c r="N230" s="18" t="str">
        <f t="shared" ca="1" si="252"/>
        <v>Муддати тугаган</v>
      </c>
      <c r="O230" s="19">
        <f t="shared" ca="1" si="248"/>
        <v>800500</v>
      </c>
      <c r="P230" s="19" t="str">
        <f t="shared" ca="1" si="249"/>
        <v/>
      </c>
      <c r="Q230" s="19" t="str">
        <f t="shared" ca="1" si="250"/>
        <v/>
      </c>
      <c r="R230" s="19">
        <f t="shared" ca="1" si="251"/>
        <v>800500</v>
      </c>
      <c r="S230" s="20"/>
    </row>
    <row r="231" spans="2:19" x14ac:dyDescent="0.2">
      <c r="B231" s="13" t="s">
        <v>345</v>
      </c>
      <c r="C231" s="40">
        <v>308040854</v>
      </c>
      <c r="D231" s="14">
        <v>903813331</v>
      </c>
      <c r="E231" s="14"/>
      <c r="F231" s="15" t="s">
        <v>30</v>
      </c>
      <c r="G231" s="15" t="s">
        <v>30</v>
      </c>
      <c r="H231" s="15" t="s">
        <v>520</v>
      </c>
      <c r="I231" s="15" t="s">
        <v>346</v>
      </c>
      <c r="J231" s="16">
        <v>45030</v>
      </c>
      <c r="K231" s="16">
        <f t="shared" si="246"/>
        <v>45060</v>
      </c>
      <c r="L231" s="21">
        <v>1736200</v>
      </c>
      <c r="M231" s="45">
        <f t="shared" ca="1" si="247"/>
        <v>42</v>
      </c>
      <c r="N231" s="18" t="str">
        <f t="shared" ca="1" si="252"/>
        <v>Муддати тугаган</v>
      </c>
      <c r="O231" s="19">
        <f t="shared" ca="1" si="248"/>
        <v>1736200</v>
      </c>
      <c r="P231" s="19">
        <f t="shared" ca="1" si="249"/>
        <v>1736200</v>
      </c>
      <c r="Q231" s="19" t="str">
        <f t="shared" ca="1" si="250"/>
        <v/>
      </c>
      <c r="R231" s="19" t="str">
        <f t="shared" ca="1" si="251"/>
        <v xml:space="preserve"> </v>
      </c>
      <c r="S231" s="20"/>
    </row>
    <row r="232" spans="2:19" x14ac:dyDescent="0.2">
      <c r="B232" s="13" t="s">
        <v>345</v>
      </c>
      <c r="C232" s="40">
        <v>308040854</v>
      </c>
      <c r="D232" s="14">
        <v>903813331</v>
      </c>
      <c r="E232" s="14"/>
      <c r="F232" s="15" t="s">
        <v>30</v>
      </c>
      <c r="G232" s="15" t="s">
        <v>30</v>
      </c>
      <c r="H232" s="15" t="s">
        <v>520</v>
      </c>
      <c r="I232" s="15" t="s">
        <v>346</v>
      </c>
      <c r="J232" s="16">
        <v>45012</v>
      </c>
      <c r="K232" s="16">
        <f t="shared" si="246"/>
        <v>45042</v>
      </c>
      <c r="L232" s="21">
        <v>3540000</v>
      </c>
      <c r="M232" s="45">
        <f t="shared" ca="1" si="247"/>
        <v>60</v>
      </c>
      <c r="N232" s="18" t="str">
        <f t="shared" ca="1" si="252"/>
        <v>Муддати тугаган</v>
      </c>
      <c r="O232" s="19">
        <f t="shared" ca="1" si="248"/>
        <v>3540000</v>
      </c>
      <c r="P232" s="19">
        <f t="shared" ca="1" si="249"/>
        <v>3540000</v>
      </c>
      <c r="Q232" s="19" t="str">
        <f t="shared" ca="1" si="250"/>
        <v/>
      </c>
      <c r="R232" s="19" t="str">
        <f t="shared" ca="1" si="251"/>
        <v xml:space="preserve"> </v>
      </c>
      <c r="S232" s="20"/>
    </row>
    <row r="233" spans="2:19" x14ac:dyDescent="0.2">
      <c r="B233" s="13" t="s">
        <v>454</v>
      </c>
      <c r="C233" s="40">
        <v>309369958</v>
      </c>
      <c r="D233" s="14"/>
      <c r="E233" s="14"/>
      <c r="F233" s="15" t="s">
        <v>75</v>
      </c>
      <c r="G233" s="15" t="s">
        <v>75</v>
      </c>
      <c r="H233" s="15" t="s">
        <v>520</v>
      </c>
      <c r="I233" s="15" t="s">
        <v>77</v>
      </c>
      <c r="J233" s="16">
        <v>44914</v>
      </c>
      <c r="K233" s="16">
        <f t="shared" si="246"/>
        <v>44944</v>
      </c>
      <c r="L233" s="17">
        <v>1628000</v>
      </c>
      <c r="M233" s="45">
        <f t="shared" ca="1" si="247"/>
        <v>158</v>
      </c>
      <c r="N233" s="18" t="str">
        <f t="shared" ca="1" si="252"/>
        <v>Муддати тугаган</v>
      </c>
      <c r="O233" s="19">
        <f t="shared" ca="1" si="248"/>
        <v>1628000</v>
      </c>
      <c r="P233" s="19" t="str">
        <f t="shared" ca="1" si="249"/>
        <v/>
      </c>
      <c r="Q233" s="19" t="str">
        <f t="shared" ca="1" si="250"/>
        <v/>
      </c>
      <c r="R233" s="19">
        <f t="shared" ca="1" si="251"/>
        <v>1628000</v>
      </c>
      <c r="S233" s="20"/>
    </row>
    <row r="234" spans="2:19" x14ac:dyDescent="0.2">
      <c r="B234" s="13" t="s">
        <v>347</v>
      </c>
      <c r="C234" s="40">
        <v>205938484</v>
      </c>
      <c r="D234" s="14">
        <v>913400873</v>
      </c>
      <c r="E234" s="14"/>
      <c r="F234" s="15" t="s">
        <v>55</v>
      </c>
      <c r="G234" s="15" t="s">
        <v>55</v>
      </c>
      <c r="H234" s="15" t="s">
        <v>520</v>
      </c>
      <c r="I234" s="15" t="s">
        <v>58</v>
      </c>
      <c r="J234" s="16">
        <v>44889</v>
      </c>
      <c r="K234" s="16">
        <f t="shared" si="246"/>
        <v>44919</v>
      </c>
      <c r="L234" s="17">
        <v>3262000</v>
      </c>
      <c r="M234" s="45">
        <f t="shared" ref="M234:M239" ca="1" si="253">IF(J234&gt;0,(+$B$1-J234),)</f>
        <v>183</v>
      </c>
      <c r="N234" s="18" t="str">
        <f t="shared" ca="1" si="252"/>
        <v>Муддати тугаган</v>
      </c>
      <c r="O234" s="19">
        <f t="shared" ref="O234:O239" ca="1" si="254">IF(M234&gt;=30,L234, " ")</f>
        <v>3262000</v>
      </c>
      <c r="P234" s="19" t="str">
        <f t="shared" ref="P234:P239" ca="1" si="255">IF(M234&gt;60,"",(IF(M234&gt;30,O234, "")))</f>
        <v/>
      </c>
      <c r="Q234" s="19" t="str">
        <f t="shared" ref="Q234:Q239" ca="1" si="256">IF(M234&gt;90,"",(IF(M234&gt;60,O234, "")))</f>
        <v/>
      </c>
      <c r="R234" s="19">
        <f t="shared" ref="R234:R239" ca="1" si="257">IF(M234&gt;90,L234, " ")</f>
        <v>3262000</v>
      </c>
      <c r="S234" s="20"/>
    </row>
    <row r="235" spans="2:19" x14ac:dyDescent="0.2">
      <c r="B235" s="13" t="s">
        <v>347</v>
      </c>
      <c r="C235" s="40">
        <v>205938484</v>
      </c>
      <c r="D235" s="14">
        <v>913400873</v>
      </c>
      <c r="E235" s="14"/>
      <c r="F235" s="15" t="s">
        <v>55</v>
      </c>
      <c r="G235" s="15" t="s">
        <v>55</v>
      </c>
      <c r="H235" s="15" t="s">
        <v>520</v>
      </c>
      <c r="I235" s="15" t="s">
        <v>58</v>
      </c>
      <c r="J235" s="16">
        <v>44951</v>
      </c>
      <c r="K235" s="16">
        <f t="shared" si="246"/>
        <v>44981</v>
      </c>
      <c r="L235" s="17">
        <v>3870000</v>
      </c>
      <c r="M235" s="45">
        <f t="shared" ca="1" si="253"/>
        <v>121</v>
      </c>
      <c r="N235" s="18" t="str">
        <f t="shared" ca="1" si="252"/>
        <v>Муддати тугаган</v>
      </c>
      <c r="O235" s="19">
        <f t="shared" ca="1" si="254"/>
        <v>3870000</v>
      </c>
      <c r="P235" s="19" t="str">
        <f t="shared" ca="1" si="255"/>
        <v/>
      </c>
      <c r="Q235" s="19" t="str">
        <f t="shared" ca="1" si="256"/>
        <v/>
      </c>
      <c r="R235" s="19">
        <f t="shared" ca="1" si="257"/>
        <v>3870000</v>
      </c>
      <c r="S235" s="20"/>
    </row>
    <row r="236" spans="2:19" x14ac:dyDescent="0.2">
      <c r="B236" s="13" t="s">
        <v>393</v>
      </c>
      <c r="C236" s="40">
        <v>305293717</v>
      </c>
      <c r="D236" s="14">
        <v>919135686</v>
      </c>
      <c r="E236" s="14"/>
      <c r="F236" s="15" t="s">
        <v>17</v>
      </c>
      <c r="G236" s="15" t="s">
        <v>309</v>
      </c>
      <c r="H236" s="15" t="s">
        <v>520</v>
      </c>
      <c r="I236" s="15" t="s">
        <v>300</v>
      </c>
      <c r="J236" s="16">
        <v>44910</v>
      </c>
      <c r="K236" s="16">
        <f t="shared" ref="K236:K240" si="258">IF(J236&gt;0,J236+30," ")</f>
        <v>44940</v>
      </c>
      <c r="L236" s="17">
        <v>6295550</v>
      </c>
      <c r="M236" s="45">
        <f t="shared" ca="1" si="253"/>
        <v>162</v>
      </c>
      <c r="N236" s="18" t="str">
        <f t="shared" ca="1" si="252"/>
        <v>Муддати тугаган</v>
      </c>
      <c r="O236" s="19">
        <f t="shared" ca="1" si="254"/>
        <v>6295550</v>
      </c>
      <c r="P236" s="19" t="str">
        <f t="shared" ca="1" si="255"/>
        <v/>
      </c>
      <c r="Q236" s="19" t="str">
        <f t="shared" ca="1" si="256"/>
        <v/>
      </c>
      <c r="R236" s="19">
        <f t="shared" ca="1" si="257"/>
        <v>6295550</v>
      </c>
      <c r="S236" s="20"/>
    </row>
    <row r="237" spans="2:19" x14ac:dyDescent="0.2">
      <c r="B237" s="13" t="s">
        <v>204</v>
      </c>
      <c r="C237" s="44">
        <v>300911725</v>
      </c>
      <c r="D237" s="14">
        <v>903070006</v>
      </c>
      <c r="E237" s="14"/>
      <c r="F237" s="15" t="s">
        <v>24</v>
      </c>
      <c r="G237" s="15" t="s">
        <v>82</v>
      </c>
      <c r="H237" s="15" t="s">
        <v>520</v>
      </c>
      <c r="I237" s="15" t="s">
        <v>205</v>
      </c>
      <c r="J237" s="16">
        <v>45022</v>
      </c>
      <c r="K237" s="16">
        <f t="shared" si="258"/>
        <v>45052</v>
      </c>
      <c r="L237" s="17">
        <v>3755400</v>
      </c>
      <c r="M237" s="45">
        <f t="shared" ca="1" si="253"/>
        <v>50</v>
      </c>
      <c r="N237" s="18" t="str">
        <f t="shared" ca="1" si="252"/>
        <v>Муддати тугаган</v>
      </c>
      <c r="O237" s="19">
        <f t="shared" ca="1" si="254"/>
        <v>3755400</v>
      </c>
      <c r="P237" s="19">
        <f t="shared" ca="1" si="255"/>
        <v>3755400</v>
      </c>
      <c r="Q237" s="19" t="str">
        <f t="shared" ca="1" si="256"/>
        <v/>
      </c>
      <c r="R237" s="19" t="str">
        <f t="shared" ca="1" si="257"/>
        <v xml:space="preserve"> </v>
      </c>
      <c r="S237" s="20"/>
    </row>
    <row r="238" spans="2:19" x14ac:dyDescent="0.2">
      <c r="B238" s="33" t="s">
        <v>348</v>
      </c>
      <c r="C238" s="40">
        <v>303359444</v>
      </c>
      <c r="D238" s="14">
        <v>972524140</v>
      </c>
      <c r="E238" s="14"/>
      <c r="F238" s="15" t="s">
        <v>55</v>
      </c>
      <c r="G238" s="15" t="s">
        <v>182</v>
      </c>
      <c r="H238" s="15" t="s">
        <v>520</v>
      </c>
      <c r="I238" s="15" t="s">
        <v>62</v>
      </c>
      <c r="J238" s="16">
        <v>44984</v>
      </c>
      <c r="K238" s="16">
        <f t="shared" si="258"/>
        <v>45014</v>
      </c>
      <c r="L238" s="17">
        <v>20240100</v>
      </c>
      <c r="M238" s="45">
        <f t="shared" ca="1" si="253"/>
        <v>88</v>
      </c>
      <c r="N238" s="18" t="str">
        <f t="shared" ref="N238:N245" ca="1" si="259">IF(M238=0," ",IF(M238&gt;=30,"Муддати тугаган"," "))</f>
        <v>Муддати тугаган</v>
      </c>
      <c r="O238" s="19">
        <f t="shared" ca="1" si="254"/>
        <v>20240100</v>
      </c>
      <c r="P238" s="19" t="str">
        <f t="shared" ca="1" si="255"/>
        <v/>
      </c>
      <c r="Q238" s="19">
        <f t="shared" ca="1" si="256"/>
        <v>20240100</v>
      </c>
      <c r="R238" s="19" t="str">
        <f t="shared" ca="1" si="257"/>
        <v xml:space="preserve"> </v>
      </c>
      <c r="S238" s="20"/>
    </row>
    <row r="239" spans="2:19" x14ac:dyDescent="0.2">
      <c r="B239" s="24" t="s">
        <v>349</v>
      </c>
      <c r="C239" s="43">
        <v>304754554</v>
      </c>
      <c r="D239" s="25">
        <v>944746502</v>
      </c>
      <c r="E239" s="14"/>
      <c r="F239" s="26" t="s">
        <v>64</v>
      </c>
      <c r="G239" s="26" t="s">
        <v>263</v>
      </c>
      <c r="H239" s="26" t="s">
        <v>520</v>
      </c>
      <c r="I239" s="26" t="s">
        <v>65</v>
      </c>
      <c r="J239" s="27">
        <v>44169</v>
      </c>
      <c r="K239" s="27">
        <f t="shared" si="258"/>
        <v>44199</v>
      </c>
      <c r="L239" s="37">
        <v>2657000</v>
      </c>
      <c r="M239" s="46">
        <f t="shared" ca="1" si="253"/>
        <v>903</v>
      </c>
      <c r="N239" s="57" t="str">
        <f t="shared" ca="1" si="259"/>
        <v>Муддати тугаган</v>
      </c>
      <c r="O239" s="29">
        <f t="shared" ca="1" si="254"/>
        <v>2657000</v>
      </c>
      <c r="P239" s="29" t="str">
        <f t="shared" ca="1" si="255"/>
        <v/>
      </c>
      <c r="Q239" s="29" t="str">
        <f t="shared" ca="1" si="256"/>
        <v/>
      </c>
      <c r="R239" s="29">
        <f t="shared" ca="1" si="257"/>
        <v>2657000</v>
      </c>
      <c r="S239" s="20"/>
    </row>
    <row r="240" spans="2:19" x14ac:dyDescent="0.2">
      <c r="B240" s="13" t="s">
        <v>350</v>
      </c>
      <c r="C240" s="40">
        <v>202861591</v>
      </c>
      <c r="D240" s="14">
        <v>996449002</v>
      </c>
      <c r="E240" s="14"/>
      <c r="F240" s="15" t="s">
        <v>30</v>
      </c>
      <c r="G240" s="15" t="s">
        <v>162</v>
      </c>
      <c r="H240" s="15" t="s">
        <v>520</v>
      </c>
      <c r="I240" s="15" t="s">
        <v>34</v>
      </c>
      <c r="J240" s="16">
        <v>45023</v>
      </c>
      <c r="K240" s="16">
        <f t="shared" si="258"/>
        <v>45053</v>
      </c>
      <c r="L240" s="21">
        <v>1621710</v>
      </c>
      <c r="M240" s="45">
        <f t="shared" ref="M240:M247" ca="1" si="260">IF(J240&gt;0,(+$B$1-J240),)</f>
        <v>49</v>
      </c>
      <c r="N240" s="18" t="str">
        <f t="shared" ca="1" si="259"/>
        <v>Муддати тугаган</v>
      </c>
      <c r="O240" s="19">
        <f t="shared" ref="O240:O247" ca="1" si="261">IF(M240&gt;=30,L240, " ")</f>
        <v>1621710</v>
      </c>
      <c r="P240" s="19">
        <f t="shared" ref="P240:P247" ca="1" si="262">IF(M240&gt;60,"",(IF(M240&gt;30,O240, "")))</f>
        <v>1621710</v>
      </c>
      <c r="Q240" s="19" t="str">
        <f t="shared" ref="Q240:Q247" ca="1" si="263">IF(M240&gt;90,"",(IF(M240&gt;60,O240, "")))</f>
        <v/>
      </c>
      <c r="R240" s="19" t="str">
        <f t="shared" ref="R240:R247" ca="1" si="264">IF(M240&gt;90,L240, " ")</f>
        <v xml:space="preserve"> </v>
      </c>
      <c r="S240" s="20"/>
    </row>
    <row r="241" spans="2:19" x14ac:dyDescent="0.2">
      <c r="B241" s="13" t="s">
        <v>509</v>
      </c>
      <c r="C241" s="40">
        <v>305861856</v>
      </c>
      <c r="D241" s="14">
        <v>979154025</v>
      </c>
      <c r="E241" s="14"/>
      <c r="F241" s="15" t="s">
        <v>524</v>
      </c>
      <c r="G241" s="15" t="s">
        <v>64</v>
      </c>
      <c r="H241" s="15" t="s">
        <v>508</v>
      </c>
      <c r="I241" s="15"/>
      <c r="J241" s="16">
        <v>45012</v>
      </c>
      <c r="K241" s="16">
        <f t="shared" ref="K241:K247" si="265">IF(J241&gt;0,J241+30," ")</f>
        <v>45042</v>
      </c>
      <c r="L241" s="17">
        <v>25007000</v>
      </c>
      <c r="M241" s="45">
        <f t="shared" ca="1" si="260"/>
        <v>60</v>
      </c>
      <c r="N241" s="18" t="str">
        <f t="shared" ca="1" si="259"/>
        <v>Муддати тугаган</v>
      </c>
      <c r="O241" s="19">
        <f t="shared" ca="1" si="261"/>
        <v>25007000</v>
      </c>
      <c r="P241" s="19">
        <f t="shared" ca="1" si="262"/>
        <v>25007000</v>
      </c>
      <c r="Q241" s="19" t="str">
        <f t="shared" ca="1" si="263"/>
        <v/>
      </c>
      <c r="R241" s="19" t="str">
        <f t="shared" ca="1" si="264"/>
        <v xml:space="preserve"> </v>
      </c>
      <c r="S241" s="20"/>
    </row>
    <row r="242" spans="2:19" x14ac:dyDescent="0.2">
      <c r="B242" s="13" t="s">
        <v>509</v>
      </c>
      <c r="C242" s="40">
        <v>305861856</v>
      </c>
      <c r="D242" s="14">
        <v>979154025</v>
      </c>
      <c r="E242" s="14"/>
      <c r="F242" s="15" t="s">
        <v>524</v>
      </c>
      <c r="G242" s="15" t="s">
        <v>64</v>
      </c>
      <c r="H242" s="15" t="s">
        <v>508</v>
      </c>
      <c r="I242" s="15"/>
      <c r="J242" s="16">
        <v>45023</v>
      </c>
      <c r="K242" s="16">
        <f t="shared" si="265"/>
        <v>45053</v>
      </c>
      <c r="L242" s="17">
        <v>52294000</v>
      </c>
      <c r="M242" s="45">
        <f t="shared" ca="1" si="260"/>
        <v>49</v>
      </c>
      <c r="N242" s="18" t="str">
        <f t="shared" ca="1" si="259"/>
        <v>Муддати тугаган</v>
      </c>
      <c r="O242" s="19">
        <f t="shared" ca="1" si="261"/>
        <v>52294000</v>
      </c>
      <c r="P242" s="19">
        <f t="shared" ca="1" si="262"/>
        <v>52294000</v>
      </c>
      <c r="Q242" s="19" t="str">
        <f t="shared" ca="1" si="263"/>
        <v/>
      </c>
      <c r="R242" s="19" t="str">
        <f t="shared" ca="1" si="264"/>
        <v xml:space="preserve"> </v>
      </c>
      <c r="S242" s="20"/>
    </row>
    <row r="243" spans="2:19" x14ac:dyDescent="0.2">
      <c r="B243" s="13" t="s">
        <v>509</v>
      </c>
      <c r="C243" s="40">
        <v>305861856</v>
      </c>
      <c r="D243" s="14">
        <v>979154025</v>
      </c>
      <c r="E243" s="14"/>
      <c r="F243" s="15" t="s">
        <v>524</v>
      </c>
      <c r="G243" s="15" t="s">
        <v>64</v>
      </c>
      <c r="H243" s="15" t="s">
        <v>508</v>
      </c>
      <c r="I243" s="15"/>
      <c r="J243" s="16">
        <v>45035</v>
      </c>
      <c r="K243" s="16">
        <f t="shared" si="265"/>
        <v>45065</v>
      </c>
      <c r="L243" s="17">
        <v>15440000</v>
      </c>
      <c r="M243" s="45">
        <f t="shared" ca="1" si="260"/>
        <v>37</v>
      </c>
      <c r="N243" s="18" t="str">
        <f t="shared" ca="1" si="259"/>
        <v>Муддати тугаган</v>
      </c>
      <c r="O243" s="19">
        <f t="shared" ca="1" si="261"/>
        <v>15440000</v>
      </c>
      <c r="P243" s="19">
        <f t="shared" ca="1" si="262"/>
        <v>15440000</v>
      </c>
      <c r="Q243" s="19" t="str">
        <f t="shared" ca="1" si="263"/>
        <v/>
      </c>
      <c r="R243" s="19" t="str">
        <f t="shared" ca="1" si="264"/>
        <v xml:space="preserve"> </v>
      </c>
      <c r="S243" s="20"/>
    </row>
    <row r="244" spans="2:19" x14ac:dyDescent="0.2">
      <c r="B244" s="13" t="s">
        <v>351</v>
      </c>
      <c r="C244" s="42">
        <v>205732195</v>
      </c>
      <c r="D244" s="23">
        <v>909832797</v>
      </c>
      <c r="E244" s="14"/>
      <c r="F244" s="15" t="s">
        <v>13</v>
      </c>
      <c r="G244" s="15" t="s">
        <v>151</v>
      </c>
      <c r="H244" s="15" t="s">
        <v>520</v>
      </c>
      <c r="I244" s="15" t="s">
        <v>122</v>
      </c>
      <c r="J244" s="16">
        <v>45021</v>
      </c>
      <c r="K244" s="16">
        <f t="shared" si="265"/>
        <v>45051</v>
      </c>
      <c r="L244" s="17">
        <v>4759000</v>
      </c>
      <c r="M244" s="45">
        <f t="shared" ca="1" si="260"/>
        <v>51</v>
      </c>
      <c r="N244" s="18" t="str">
        <f t="shared" ca="1" si="259"/>
        <v>Муддати тугаган</v>
      </c>
      <c r="O244" s="19">
        <f t="shared" ca="1" si="261"/>
        <v>4759000</v>
      </c>
      <c r="P244" s="19">
        <f t="shared" ca="1" si="262"/>
        <v>4759000</v>
      </c>
      <c r="Q244" s="19" t="str">
        <f t="shared" ca="1" si="263"/>
        <v/>
      </c>
      <c r="R244" s="19" t="str">
        <f t="shared" ca="1" si="264"/>
        <v xml:space="preserve"> </v>
      </c>
      <c r="S244" s="20"/>
    </row>
    <row r="245" spans="2:19" x14ac:dyDescent="0.2">
      <c r="B245" s="13" t="s">
        <v>351</v>
      </c>
      <c r="C245" s="42">
        <v>205732195</v>
      </c>
      <c r="D245" s="23">
        <v>909832797</v>
      </c>
      <c r="E245" s="14"/>
      <c r="F245" s="15" t="s">
        <v>13</v>
      </c>
      <c r="G245" s="15" t="s">
        <v>151</v>
      </c>
      <c r="H245" s="15" t="s">
        <v>520</v>
      </c>
      <c r="I245" s="15" t="s">
        <v>122</v>
      </c>
      <c r="J245" s="16">
        <v>45034</v>
      </c>
      <c r="K245" s="16">
        <f t="shared" si="265"/>
        <v>45064</v>
      </c>
      <c r="L245" s="17">
        <v>1909650</v>
      </c>
      <c r="M245" s="45">
        <f t="shared" ca="1" si="260"/>
        <v>38</v>
      </c>
      <c r="N245" s="18" t="str">
        <f t="shared" ca="1" si="259"/>
        <v>Муддати тугаган</v>
      </c>
      <c r="O245" s="19">
        <f t="shared" ca="1" si="261"/>
        <v>1909650</v>
      </c>
      <c r="P245" s="19">
        <f t="shared" ca="1" si="262"/>
        <v>1909650</v>
      </c>
      <c r="Q245" s="19" t="str">
        <f t="shared" ca="1" si="263"/>
        <v/>
      </c>
      <c r="R245" s="19" t="str">
        <f t="shared" ca="1" si="264"/>
        <v xml:space="preserve"> </v>
      </c>
      <c r="S245" s="20"/>
    </row>
    <row r="246" spans="2:19" x14ac:dyDescent="0.2">
      <c r="B246" s="13" t="s">
        <v>352</v>
      </c>
      <c r="C246" s="40">
        <v>205077489</v>
      </c>
      <c r="D246" s="14">
        <v>941981176</v>
      </c>
      <c r="E246" s="14"/>
      <c r="F246" s="15" t="s">
        <v>15</v>
      </c>
      <c r="G246" s="15" t="s">
        <v>111</v>
      </c>
      <c r="H246" s="15" t="s">
        <v>520</v>
      </c>
      <c r="I246" s="15" t="s">
        <v>16</v>
      </c>
      <c r="J246" s="16">
        <v>45016</v>
      </c>
      <c r="K246" s="16">
        <f t="shared" si="265"/>
        <v>45046</v>
      </c>
      <c r="L246" s="17">
        <v>2347800</v>
      </c>
      <c r="M246" s="45">
        <f t="shared" ca="1" si="260"/>
        <v>56</v>
      </c>
      <c r="N246" s="18" t="str">
        <f t="shared" ref="N246:N250" ca="1" si="266">IF(M246=0," ",IF(M246&gt;=30,"Муддати тугаган"," "))</f>
        <v>Муддати тугаган</v>
      </c>
      <c r="O246" s="19">
        <f t="shared" ca="1" si="261"/>
        <v>2347800</v>
      </c>
      <c r="P246" s="19">
        <f t="shared" ca="1" si="262"/>
        <v>2347800</v>
      </c>
      <c r="Q246" s="19" t="str">
        <f t="shared" ca="1" si="263"/>
        <v/>
      </c>
      <c r="R246" s="19" t="str">
        <f t="shared" ca="1" si="264"/>
        <v xml:space="preserve"> </v>
      </c>
      <c r="S246" s="20"/>
    </row>
    <row r="247" spans="2:19" x14ac:dyDescent="0.2">
      <c r="B247" s="13" t="s">
        <v>549</v>
      </c>
      <c r="C247" s="77">
        <v>306251578</v>
      </c>
      <c r="D247" s="14">
        <v>906517039</v>
      </c>
      <c r="E247" s="14"/>
      <c r="F247" s="15" t="s">
        <v>43</v>
      </c>
      <c r="G247" s="15" t="s">
        <v>106</v>
      </c>
      <c r="H247" s="15" t="s">
        <v>520</v>
      </c>
      <c r="I247" s="15" t="s">
        <v>44</v>
      </c>
      <c r="J247" s="16">
        <v>44972</v>
      </c>
      <c r="K247" s="16">
        <f t="shared" si="265"/>
        <v>45002</v>
      </c>
      <c r="L247" s="17">
        <v>1586000</v>
      </c>
      <c r="M247" s="45">
        <f t="shared" ca="1" si="260"/>
        <v>100</v>
      </c>
      <c r="N247" s="18" t="str">
        <f t="shared" ca="1" si="266"/>
        <v>Муддати тугаган</v>
      </c>
      <c r="O247" s="19">
        <f t="shared" ca="1" si="261"/>
        <v>1586000</v>
      </c>
      <c r="P247" s="19" t="str">
        <f t="shared" ca="1" si="262"/>
        <v/>
      </c>
      <c r="Q247" s="19" t="str">
        <f t="shared" ca="1" si="263"/>
        <v/>
      </c>
      <c r="R247" s="19">
        <f t="shared" ca="1" si="264"/>
        <v>1586000</v>
      </c>
      <c r="S247" s="20"/>
    </row>
    <row r="248" spans="2:19" x14ac:dyDescent="0.2">
      <c r="B248" s="13" t="s">
        <v>353</v>
      </c>
      <c r="C248" s="40">
        <v>305567990</v>
      </c>
      <c r="D248" s="14">
        <v>944360085</v>
      </c>
      <c r="E248" s="14"/>
      <c r="F248" s="15" t="s">
        <v>30</v>
      </c>
      <c r="G248" s="15" t="s">
        <v>195</v>
      </c>
      <c r="H248" s="15" t="s">
        <v>520</v>
      </c>
      <c r="I248" s="15" t="s">
        <v>35</v>
      </c>
      <c r="J248" s="16">
        <v>44665</v>
      </c>
      <c r="K248" s="16">
        <f t="shared" ref="K248:K252" si="267">IF(J248&gt;0,J248+30," ")</f>
        <v>44695</v>
      </c>
      <c r="L248" s="17">
        <v>1537500</v>
      </c>
      <c r="M248" s="45">
        <f t="shared" ref="M248:M251" ca="1" si="268">IF(J248&gt;0,(+$B$1-J248),)</f>
        <v>407</v>
      </c>
      <c r="N248" s="18" t="str">
        <f t="shared" ca="1" si="266"/>
        <v>Муддати тугаган</v>
      </c>
      <c r="O248" s="19">
        <f t="shared" ref="O248:O251" ca="1" si="269">IF(M248&gt;=30,L248, " ")</f>
        <v>1537500</v>
      </c>
      <c r="P248" s="19" t="str">
        <f t="shared" ref="P248:P251" ca="1" si="270">IF(M248&gt;60,"",(IF(M248&gt;30,O248, "")))</f>
        <v/>
      </c>
      <c r="Q248" s="19" t="str">
        <f t="shared" ref="Q248:Q251" ca="1" si="271">IF(M248&gt;90,"",(IF(M248&gt;60,O248, "")))</f>
        <v/>
      </c>
      <c r="R248" s="19">
        <f t="shared" ref="R248:R251" ca="1" si="272">IF(M248&gt;90,L248, " ")</f>
        <v>1537500</v>
      </c>
      <c r="S248" s="20"/>
    </row>
    <row r="249" spans="2:19" x14ac:dyDescent="0.2">
      <c r="B249" s="13" t="s">
        <v>564</v>
      </c>
      <c r="C249" s="40">
        <v>202526041</v>
      </c>
      <c r="D249" s="14">
        <v>912239226</v>
      </c>
      <c r="E249" s="14"/>
      <c r="F249" s="15" t="s">
        <v>45</v>
      </c>
      <c r="G249" s="15" t="s">
        <v>141</v>
      </c>
      <c r="H249" s="15" t="s">
        <v>520</v>
      </c>
      <c r="I249" s="15" t="s">
        <v>116</v>
      </c>
      <c r="J249" s="16">
        <v>44994</v>
      </c>
      <c r="K249" s="16">
        <f t="shared" si="267"/>
        <v>45024</v>
      </c>
      <c r="L249" s="17">
        <v>4335000</v>
      </c>
      <c r="M249" s="45">
        <f t="shared" ca="1" si="268"/>
        <v>78</v>
      </c>
      <c r="N249" s="18" t="str">
        <f t="shared" ca="1" si="266"/>
        <v>Муддати тугаган</v>
      </c>
      <c r="O249" s="19">
        <f t="shared" ca="1" si="269"/>
        <v>4335000</v>
      </c>
      <c r="P249" s="19" t="str">
        <f t="shared" ca="1" si="270"/>
        <v/>
      </c>
      <c r="Q249" s="19">
        <f t="shared" ca="1" si="271"/>
        <v>4335000</v>
      </c>
      <c r="R249" s="19" t="str">
        <f t="shared" ca="1" si="272"/>
        <v xml:space="preserve"> </v>
      </c>
      <c r="S249" s="20"/>
    </row>
    <row r="250" spans="2:19" x14ac:dyDescent="0.2">
      <c r="B250" s="13" t="s">
        <v>564</v>
      </c>
      <c r="C250" s="40">
        <v>202526041</v>
      </c>
      <c r="D250" s="14">
        <v>912239226</v>
      </c>
      <c r="E250" s="14"/>
      <c r="F250" s="15" t="s">
        <v>45</v>
      </c>
      <c r="G250" s="15" t="s">
        <v>141</v>
      </c>
      <c r="H250" s="15" t="s">
        <v>520</v>
      </c>
      <c r="I250" s="15" t="s">
        <v>116</v>
      </c>
      <c r="J250" s="16">
        <v>45023</v>
      </c>
      <c r="K250" s="16">
        <f t="shared" si="267"/>
        <v>45053</v>
      </c>
      <c r="L250" s="17">
        <v>12073000</v>
      </c>
      <c r="M250" s="45">
        <f t="shared" ca="1" si="268"/>
        <v>49</v>
      </c>
      <c r="N250" s="18" t="str">
        <f t="shared" ca="1" si="266"/>
        <v>Муддати тугаган</v>
      </c>
      <c r="O250" s="19">
        <f t="shared" ca="1" si="269"/>
        <v>12073000</v>
      </c>
      <c r="P250" s="19">
        <f t="shared" ca="1" si="270"/>
        <v>12073000</v>
      </c>
      <c r="Q250" s="19" t="str">
        <f t="shared" ca="1" si="271"/>
        <v/>
      </c>
      <c r="R250" s="19" t="str">
        <f t="shared" ca="1" si="272"/>
        <v xml:space="preserve"> </v>
      </c>
      <c r="S250" s="20"/>
    </row>
    <row r="251" spans="2:19" x14ac:dyDescent="0.2">
      <c r="B251" s="13" t="s">
        <v>355</v>
      </c>
      <c r="C251" s="40">
        <v>305736535</v>
      </c>
      <c r="D251" s="14">
        <v>974846777</v>
      </c>
      <c r="E251" s="14"/>
      <c r="F251" s="15" t="s">
        <v>15</v>
      </c>
      <c r="G251" s="15" t="s">
        <v>156</v>
      </c>
      <c r="H251" s="15" t="s">
        <v>520</v>
      </c>
      <c r="I251" s="15" t="s">
        <v>16</v>
      </c>
      <c r="J251" s="16">
        <v>44756</v>
      </c>
      <c r="K251" s="16">
        <f t="shared" si="267"/>
        <v>44786</v>
      </c>
      <c r="L251" s="17">
        <v>100</v>
      </c>
      <c r="M251" s="45">
        <f t="shared" ca="1" si="268"/>
        <v>316</v>
      </c>
      <c r="N251" s="18" t="str">
        <f t="shared" ref="N251:N252" ca="1" si="273">IF(M251=0," ",IF(M251&gt;=30,"Муддати тугаган"," "))</f>
        <v>Муддати тугаган</v>
      </c>
      <c r="O251" s="19">
        <f t="shared" ca="1" si="269"/>
        <v>100</v>
      </c>
      <c r="P251" s="19" t="str">
        <f t="shared" ca="1" si="270"/>
        <v/>
      </c>
      <c r="Q251" s="19" t="str">
        <f t="shared" ca="1" si="271"/>
        <v/>
      </c>
      <c r="R251" s="19">
        <f t="shared" ca="1" si="272"/>
        <v>100</v>
      </c>
      <c r="S251" s="20"/>
    </row>
    <row r="252" spans="2:19" x14ac:dyDescent="0.2">
      <c r="B252" s="13" t="s">
        <v>286</v>
      </c>
      <c r="C252" s="40">
        <v>203484585</v>
      </c>
      <c r="D252" s="14">
        <v>979121393</v>
      </c>
      <c r="E252" s="14"/>
      <c r="F252" s="15" t="s">
        <v>64</v>
      </c>
      <c r="G252" s="15" t="s">
        <v>170</v>
      </c>
      <c r="H252" s="15" t="s">
        <v>520</v>
      </c>
      <c r="I252" s="15" t="s">
        <v>282</v>
      </c>
      <c r="J252" s="16">
        <v>44900</v>
      </c>
      <c r="K252" s="16">
        <f t="shared" si="267"/>
        <v>44930</v>
      </c>
      <c r="L252" s="17">
        <v>5000</v>
      </c>
      <c r="M252" s="45">
        <f t="shared" ref="M252:M256" ca="1" si="274">IF(J252&gt;0,(+$B$1-J252),)</f>
        <v>172</v>
      </c>
      <c r="N252" s="18" t="str">
        <f t="shared" ca="1" si="273"/>
        <v>Муддати тугаган</v>
      </c>
      <c r="O252" s="19">
        <f t="shared" ref="O252:O256" ca="1" si="275">IF(M252&gt;=30,L252, " ")</f>
        <v>5000</v>
      </c>
      <c r="P252" s="19" t="str">
        <f t="shared" ref="P252:P256" ca="1" si="276">IF(M252&gt;60,"",(IF(M252&gt;30,O252, "")))</f>
        <v/>
      </c>
      <c r="Q252" s="19" t="str">
        <f t="shared" ref="Q252:Q256" ca="1" si="277">IF(M252&gt;90,"",(IF(M252&gt;60,O252, "")))</f>
        <v/>
      </c>
      <c r="R252" s="19">
        <f t="shared" ref="R252:R256" ca="1" si="278">IF(M252&gt;90,L252, " ")</f>
        <v>5000</v>
      </c>
      <c r="S252" s="20"/>
    </row>
    <row r="253" spans="2:19" x14ac:dyDescent="0.2">
      <c r="B253" s="13" t="s">
        <v>100</v>
      </c>
      <c r="C253" s="40">
        <v>309506865</v>
      </c>
      <c r="D253" s="14"/>
      <c r="E253" s="14"/>
      <c r="F253" s="15" t="s">
        <v>24</v>
      </c>
      <c r="G253" s="15" t="s">
        <v>24</v>
      </c>
      <c r="H253" s="15" t="s">
        <v>520</v>
      </c>
      <c r="I253" s="15" t="s">
        <v>101</v>
      </c>
      <c r="J253" s="16">
        <v>44945</v>
      </c>
      <c r="K253" s="16">
        <f t="shared" ref="K253:K256" si="279">IF(J253&gt;0,J253+30," ")</f>
        <v>44975</v>
      </c>
      <c r="L253" s="17">
        <v>624000</v>
      </c>
      <c r="M253" s="45">
        <f t="shared" ca="1" si="274"/>
        <v>127</v>
      </c>
      <c r="N253" s="18" t="str">
        <f t="shared" ref="N253:N258" ca="1" si="280">IF(M253=0," ",IF(M253&gt;=30,"Муддати тугаган"," "))</f>
        <v>Муддати тугаган</v>
      </c>
      <c r="O253" s="19">
        <f t="shared" ca="1" si="275"/>
        <v>624000</v>
      </c>
      <c r="P253" s="19" t="str">
        <f t="shared" ca="1" si="276"/>
        <v/>
      </c>
      <c r="Q253" s="19" t="str">
        <f t="shared" ca="1" si="277"/>
        <v/>
      </c>
      <c r="R253" s="19">
        <f t="shared" ca="1" si="278"/>
        <v>624000</v>
      </c>
      <c r="S253" s="20"/>
    </row>
    <row r="254" spans="2:19" x14ac:dyDescent="0.2">
      <c r="B254" s="13" t="s">
        <v>356</v>
      </c>
      <c r="C254" s="40">
        <v>307250515</v>
      </c>
      <c r="D254" s="14">
        <v>942612277</v>
      </c>
      <c r="E254" s="14"/>
      <c r="F254" s="15" t="s">
        <v>21</v>
      </c>
      <c r="G254" s="15" t="s">
        <v>311</v>
      </c>
      <c r="H254" s="15" t="s">
        <v>520</v>
      </c>
      <c r="I254" s="15" t="s">
        <v>70</v>
      </c>
      <c r="J254" s="16">
        <v>44992</v>
      </c>
      <c r="K254" s="16">
        <f t="shared" si="279"/>
        <v>45022</v>
      </c>
      <c r="L254" s="21">
        <v>588000</v>
      </c>
      <c r="M254" s="45">
        <f t="shared" ca="1" si="274"/>
        <v>80</v>
      </c>
      <c r="N254" s="18" t="str">
        <f t="shared" ca="1" si="280"/>
        <v>Муддати тугаган</v>
      </c>
      <c r="O254" s="19">
        <f t="shared" ca="1" si="275"/>
        <v>588000</v>
      </c>
      <c r="P254" s="19" t="str">
        <f t="shared" ca="1" si="276"/>
        <v/>
      </c>
      <c r="Q254" s="19">
        <f t="shared" ca="1" si="277"/>
        <v>588000</v>
      </c>
      <c r="R254" s="19" t="str">
        <f t="shared" ca="1" si="278"/>
        <v xml:space="preserve"> </v>
      </c>
      <c r="S254" s="20"/>
    </row>
    <row r="255" spans="2:19" x14ac:dyDescent="0.2">
      <c r="B255" s="13" t="s">
        <v>357</v>
      </c>
      <c r="C255" s="40">
        <v>300139782</v>
      </c>
      <c r="D255" s="14">
        <v>936420666</v>
      </c>
      <c r="E255" s="14"/>
      <c r="F255" s="15" t="s">
        <v>24</v>
      </c>
      <c r="G255" s="15" t="s">
        <v>94</v>
      </c>
      <c r="H255" s="15" t="s">
        <v>520</v>
      </c>
      <c r="I255" s="15" t="s">
        <v>85</v>
      </c>
      <c r="J255" s="16">
        <v>44760</v>
      </c>
      <c r="K255" s="16">
        <f t="shared" si="279"/>
        <v>44790</v>
      </c>
      <c r="L255" s="17">
        <v>9432900</v>
      </c>
      <c r="M255" s="45">
        <f t="shared" ca="1" si="274"/>
        <v>312</v>
      </c>
      <c r="N255" s="18" t="str">
        <f t="shared" ca="1" si="280"/>
        <v>Муддати тугаган</v>
      </c>
      <c r="O255" s="19">
        <f t="shared" ca="1" si="275"/>
        <v>9432900</v>
      </c>
      <c r="P255" s="19" t="str">
        <f t="shared" ca="1" si="276"/>
        <v/>
      </c>
      <c r="Q255" s="19" t="str">
        <f t="shared" ca="1" si="277"/>
        <v/>
      </c>
      <c r="R255" s="19">
        <f t="shared" ca="1" si="278"/>
        <v>9432900</v>
      </c>
      <c r="S255" s="20"/>
    </row>
    <row r="256" spans="2:19" x14ac:dyDescent="0.2">
      <c r="B256" s="13" t="s">
        <v>358</v>
      </c>
      <c r="C256" s="40">
        <v>307758997</v>
      </c>
      <c r="D256" s="14">
        <v>997032513</v>
      </c>
      <c r="E256" s="14"/>
      <c r="F256" s="15" t="s">
        <v>64</v>
      </c>
      <c r="G256" s="15" t="s">
        <v>170</v>
      </c>
      <c r="H256" s="15" t="s">
        <v>520</v>
      </c>
      <c r="I256" s="15" t="s">
        <v>65</v>
      </c>
      <c r="J256" s="16">
        <v>44695</v>
      </c>
      <c r="K256" s="16">
        <f t="shared" si="279"/>
        <v>44725</v>
      </c>
      <c r="L256" s="17">
        <v>7590000</v>
      </c>
      <c r="M256" s="45">
        <f t="shared" ca="1" si="274"/>
        <v>377</v>
      </c>
      <c r="N256" s="18" t="str">
        <f t="shared" ca="1" si="280"/>
        <v>Муддати тугаган</v>
      </c>
      <c r="O256" s="19">
        <f t="shared" ca="1" si="275"/>
        <v>7590000</v>
      </c>
      <c r="P256" s="19" t="str">
        <f t="shared" ca="1" si="276"/>
        <v/>
      </c>
      <c r="Q256" s="19" t="str">
        <f t="shared" ca="1" si="277"/>
        <v/>
      </c>
      <c r="R256" s="19">
        <f t="shared" ca="1" si="278"/>
        <v>7590000</v>
      </c>
      <c r="S256" s="20"/>
    </row>
    <row r="257" spans="2:19" x14ac:dyDescent="0.2">
      <c r="B257" s="13" t="s">
        <v>359</v>
      </c>
      <c r="C257" s="40">
        <v>306861579</v>
      </c>
      <c r="D257" s="14"/>
      <c r="E257" s="14"/>
      <c r="F257" s="15" t="s">
        <v>24</v>
      </c>
      <c r="G257" s="15" t="s">
        <v>25</v>
      </c>
      <c r="H257" s="15" t="s">
        <v>520</v>
      </c>
      <c r="I257" s="15" t="s">
        <v>26</v>
      </c>
      <c r="J257" s="16">
        <v>45041</v>
      </c>
      <c r="K257" s="16">
        <f t="shared" ref="K257:K261" si="281">IF(J257&gt;0,J257+30," ")</f>
        <v>45071</v>
      </c>
      <c r="L257" s="17">
        <v>4944200</v>
      </c>
      <c r="M257" s="45">
        <f t="shared" ref="M257:M261" ca="1" si="282">IF(J257&gt;0,(+$B$1-J257),)</f>
        <v>31</v>
      </c>
      <c r="N257" s="18" t="str">
        <f t="shared" ca="1" si="280"/>
        <v>Муддати тугаган</v>
      </c>
      <c r="O257" s="19">
        <f t="shared" ref="O257:O261" ca="1" si="283">IF(M257&gt;=30,L257, " ")</f>
        <v>4944200</v>
      </c>
      <c r="P257" s="19">
        <f t="shared" ref="P257:P261" ca="1" si="284">IF(M257&gt;60,"",(IF(M257&gt;30,O257, "")))</f>
        <v>4944200</v>
      </c>
      <c r="Q257" s="19" t="str">
        <f t="shared" ref="Q257:Q261" ca="1" si="285">IF(M257&gt;90,"",(IF(M257&gt;60,O257, "")))</f>
        <v/>
      </c>
      <c r="R257" s="19" t="str">
        <f t="shared" ref="R257:R261" ca="1" si="286">IF(M257&gt;90,L257, " ")</f>
        <v xml:space="preserve"> </v>
      </c>
      <c r="S257" s="20"/>
    </row>
    <row r="258" spans="2:19" x14ac:dyDescent="0.2">
      <c r="B258" s="13" t="s">
        <v>597</v>
      </c>
      <c r="C258" s="40">
        <v>204726116</v>
      </c>
      <c r="D258" s="14">
        <v>909411422</v>
      </c>
      <c r="E258" s="14"/>
      <c r="F258" s="15" t="s">
        <v>13</v>
      </c>
      <c r="G258" s="15" t="s">
        <v>166</v>
      </c>
      <c r="H258" s="15" t="s">
        <v>520</v>
      </c>
      <c r="I258" s="15" t="s">
        <v>167</v>
      </c>
      <c r="J258" s="16">
        <v>44967</v>
      </c>
      <c r="K258" s="16">
        <f t="shared" si="281"/>
        <v>44997</v>
      </c>
      <c r="L258" s="17">
        <v>197360</v>
      </c>
      <c r="M258" s="45">
        <f t="shared" ca="1" si="282"/>
        <v>105</v>
      </c>
      <c r="N258" s="18" t="str">
        <f t="shared" ca="1" si="280"/>
        <v>Муддати тугаган</v>
      </c>
      <c r="O258" s="19">
        <f t="shared" ca="1" si="283"/>
        <v>197360</v>
      </c>
      <c r="P258" s="19" t="str">
        <f t="shared" ca="1" si="284"/>
        <v/>
      </c>
      <c r="Q258" s="19" t="str">
        <f t="shared" ca="1" si="285"/>
        <v/>
      </c>
      <c r="R258" s="19">
        <f t="shared" ca="1" si="286"/>
        <v>197360</v>
      </c>
      <c r="S258" s="20"/>
    </row>
    <row r="259" spans="2:19" x14ac:dyDescent="0.2">
      <c r="B259" s="13" t="s">
        <v>517</v>
      </c>
      <c r="C259" s="40">
        <v>302352914</v>
      </c>
      <c r="D259" s="14"/>
      <c r="E259" s="14"/>
      <c r="F259" s="15" t="s">
        <v>522</v>
      </c>
      <c r="G259" s="15" t="s">
        <v>268</v>
      </c>
      <c r="H259" s="15" t="s">
        <v>508</v>
      </c>
      <c r="I259" s="15" t="s">
        <v>516</v>
      </c>
      <c r="J259" s="16">
        <v>44921</v>
      </c>
      <c r="K259" s="16">
        <f t="shared" si="281"/>
        <v>44951</v>
      </c>
      <c r="L259" s="17">
        <v>4452000</v>
      </c>
      <c r="M259" s="45">
        <f t="shared" ca="1" si="282"/>
        <v>151</v>
      </c>
      <c r="N259" s="18" t="str">
        <f t="shared" ref="N259:N262" ca="1" si="287">IF(M259=0," ",IF(M259&gt;=30,"Муддати тугаган"," "))</f>
        <v>Муддати тугаган</v>
      </c>
      <c r="O259" s="19">
        <f t="shared" ca="1" si="283"/>
        <v>4452000</v>
      </c>
      <c r="P259" s="19" t="str">
        <f t="shared" ca="1" si="284"/>
        <v/>
      </c>
      <c r="Q259" s="19" t="str">
        <f t="shared" ca="1" si="285"/>
        <v/>
      </c>
      <c r="R259" s="19">
        <f t="shared" ca="1" si="286"/>
        <v>4452000</v>
      </c>
      <c r="S259" s="20"/>
    </row>
    <row r="260" spans="2:19" x14ac:dyDescent="0.2">
      <c r="B260" s="13" t="s">
        <v>360</v>
      </c>
      <c r="C260" s="40">
        <v>306673464</v>
      </c>
      <c r="D260" s="14">
        <v>911249117</v>
      </c>
      <c r="E260" s="14"/>
      <c r="F260" s="15" t="s">
        <v>24</v>
      </c>
      <c r="G260" s="15" t="s">
        <v>90</v>
      </c>
      <c r="H260" s="15" t="s">
        <v>520</v>
      </c>
      <c r="I260" s="15" t="s">
        <v>91</v>
      </c>
      <c r="J260" s="16">
        <v>45021</v>
      </c>
      <c r="K260" s="16">
        <f t="shared" si="281"/>
        <v>45051</v>
      </c>
      <c r="L260" s="17">
        <v>252000</v>
      </c>
      <c r="M260" s="45">
        <f t="shared" ca="1" si="282"/>
        <v>51</v>
      </c>
      <c r="N260" s="18" t="str">
        <f t="shared" ca="1" si="287"/>
        <v>Муддати тугаган</v>
      </c>
      <c r="O260" s="19">
        <f t="shared" ca="1" si="283"/>
        <v>252000</v>
      </c>
      <c r="P260" s="19">
        <f t="shared" ca="1" si="284"/>
        <v>252000</v>
      </c>
      <c r="Q260" s="19" t="str">
        <f t="shared" ca="1" si="285"/>
        <v/>
      </c>
      <c r="R260" s="19" t="str">
        <f t="shared" ca="1" si="286"/>
        <v xml:space="preserve"> </v>
      </c>
      <c r="S260" s="20"/>
    </row>
    <row r="261" spans="2:19" x14ac:dyDescent="0.2">
      <c r="B261" s="13" t="s">
        <v>361</v>
      </c>
      <c r="C261" s="40">
        <v>301593662</v>
      </c>
      <c r="D261" s="14"/>
      <c r="E261" s="14"/>
      <c r="F261" s="15" t="s">
        <v>64</v>
      </c>
      <c r="G261" s="15" t="s">
        <v>251</v>
      </c>
      <c r="H261" s="15" t="s">
        <v>520</v>
      </c>
      <c r="I261" s="15" t="s">
        <v>67</v>
      </c>
      <c r="J261" s="16">
        <v>44951</v>
      </c>
      <c r="K261" s="16">
        <f t="shared" si="281"/>
        <v>44981</v>
      </c>
      <c r="L261" s="17">
        <v>1286400</v>
      </c>
      <c r="M261" s="45">
        <f t="shared" ca="1" si="282"/>
        <v>121</v>
      </c>
      <c r="N261" s="18" t="str">
        <f t="shared" ca="1" si="287"/>
        <v>Муддати тугаган</v>
      </c>
      <c r="O261" s="19">
        <f t="shared" ca="1" si="283"/>
        <v>1286400</v>
      </c>
      <c r="P261" s="19" t="str">
        <f t="shared" ca="1" si="284"/>
        <v/>
      </c>
      <c r="Q261" s="19" t="str">
        <f t="shared" ca="1" si="285"/>
        <v/>
      </c>
      <c r="R261" s="19">
        <f t="shared" ca="1" si="286"/>
        <v>1286400</v>
      </c>
      <c r="S261" s="20"/>
    </row>
    <row r="262" spans="2:19" x14ac:dyDescent="0.2">
      <c r="B262" s="24" t="s">
        <v>362</v>
      </c>
      <c r="C262" s="43">
        <v>306621038</v>
      </c>
      <c r="D262" s="25">
        <v>901079990</v>
      </c>
      <c r="E262" s="14"/>
      <c r="F262" s="26" t="s">
        <v>75</v>
      </c>
      <c r="G262" s="26" t="s">
        <v>144</v>
      </c>
      <c r="H262" s="26" t="s">
        <v>520</v>
      </c>
      <c r="I262" s="26" t="s">
        <v>76</v>
      </c>
      <c r="J262" s="27">
        <v>44236</v>
      </c>
      <c r="K262" s="27">
        <f t="shared" ref="K262:K265" si="288">IF(J262&gt;0,J262+30," ")</f>
        <v>44266</v>
      </c>
      <c r="L262" s="37">
        <v>2750000</v>
      </c>
      <c r="M262" s="46">
        <f t="shared" ref="M262:M264" ca="1" si="289">IF(J262&gt;0,(+$B$1-J262),)</f>
        <v>836</v>
      </c>
      <c r="N262" s="57" t="str">
        <f t="shared" ca="1" si="287"/>
        <v>Муддати тугаган</v>
      </c>
      <c r="O262" s="29">
        <f t="shared" ref="O262:O264" ca="1" si="290">IF(M262&gt;=30,L262, " ")</f>
        <v>2750000</v>
      </c>
      <c r="P262" s="29" t="str">
        <f t="shared" ref="P262:P264" ca="1" si="291">IF(M262&gt;60,"",(IF(M262&gt;30,O262, "")))</f>
        <v/>
      </c>
      <c r="Q262" s="29" t="str">
        <f t="shared" ref="Q262:Q264" ca="1" si="292">IF(M262&gt;90,"",(IF(M262&gt;60,O262, "")))</f>
        <v/>
      </c>
      <c r="R262" s="29">
        <f t="shared" ref="R262:R264" ca="1" si="293">IF(M262&gt;90,L262, " ")</f>
        <v>2750000</v>
      </c>
      <c r="S262" s="20"/>
    </row>
    <row r="263" spans="2:19" x14ac:dyDescent="0.2">
      <c r="B263" s="13" t="s">
        <v>363</v>
      </c>
      <c r="C263" s="40">
        <v>305914718</v>
      </c>
      <c r="D263" s="14">
        <v>905520520</v>
      </c>
      <c r="E263" s="14"/>
      <c r="F263" s="15" t="s">
        <v>55</v>
      </c>
      <c r="G263" s="15" t="s">
        <v>55</v>
      </c>
      <c r="H263" s="15" t="s">
        <v>520</v>
      </c>
      <c r="I263" s="15" t="s">
        <v>58</v>
      </c>
      <c r="J263" s="16">
        <v>44984</v>
      </c>
      <c r="K263" s="16">
        <f t="shared" si="288"/>
        <v>45014</v>
      </c>
      <c r="L263" s="21">
        <v>34000000</v>
      </c>
      <c r="M263" s="45">
        <f t="shared" ca="1" si="289"/>
        <v>88</v>
      </c>
      <c r="N263" s="18" t="str">
        <f t="shared" ref="N263:N266" ca="1" si="294">IF(M263=0," ",IF(M263&gt;=30,"Муддати тугаган"," "))</f>
        <v>Муддати тугаган</v>
      </c>
      <c r="O263" s="19">
        <f t="shared" ca="1" si="290"/>
        <v>34000000</v>
      </c>
      <c r="P263" s="19" t="str">
        <f t="shared" ca="1" si="291"/>
        <v/>
      </c>
      <c r="Q263" s="19">
        <f t="shared" ca="1" si="292"/>
        <v>34000000</v>
      </c>
      <c r="R263" s="19" t="str">
        <f t="shared" ca="1" si="293"/>
        <v xml:space="preserve"> </v>
      </c>
      <c r="S263" s="20"/>
    </row>
    <row r="264" spans="2:19" x14ac:dyDescent="0.2">
      <c r="B264" s="13" t="s">
        <v>578</v>
      </c>
      <c r="C264" s="40">
        <v>302941845</v>
      </c>
      <c r="D264" s="14">
        <v>909160904</v>
      </c>
      <c r="E264" s="14"/>
      <c r="F264" s="15" t="s">
        <v>15</v>
      </c>
      <c r="G264" s="15" t="s">
        <v>15</v>
      </c>
      <c r="H264" s="15" t="s">
        <v>520</v>
      </c>
      <c r="I264" s="15" t="s">
        <v>40</v>
      </c>
      <c r="J264" s="16">
        <v>45012</v>
      </c>
      <c r="K264" s="16">
        <f t="shared" si="288"/>
        <v>45042</v>
      </c>
      <c r="L264" s="17">
        <v>408080</v>
      </c>
      <c r="M264" s="45">
        <f t="shared" ca="1" si="289"/>
        <v>60</v>
      </c>
      <c r="N264" s="18" t="str">
        <f t="shared" ca="1" si="294"/>
        <v>Муддати тугаган</v>
      </c>
      <c r="O264" s="19">
        <f t="shared" ca="1" si="290"/>
        <v>408080</v>
      </c>
      <c r="P264" s="19">
        <f t="shared" ca="1" si="291"/>
        <v>408080</v>
      </c>
      <c r="Q264" s="19" t="str">
        <f t="shared" ca="1" si="292"/>
        <v/>
      </c>
      <c r="R264" s="19" t="str">
        <f t="shared" ca="1" si="293"/>
        <v xml:space="preserve"> </v>
      </c>
      <c r="S264" s="20"/>
    </row>
    <row r="265" spans="2:19" x14ac:dyDescent="0.2">
      <c r="B265" s="13" t="s">
        <v>364</v>
      </c>
      <c r="C265" s="40">
        <v>201310842</v>
      </c>
      <c r="D265" s="14">
        <v>913629966</v>
      </c>
      <c r="E265" s="14"/>
      <c r="F265" s="15" t="s">
        <v>55</v>
      </c>
      <c r="G265" s="15" t="s">
        <v>55</v>
      </c>
      <c r="H265" s="15" t="s">
        <v>520</v>
      </c>
      <c r="I265" s="15" t="s">
        <v>59</v>
      </c>
      <c r="J265" s="16">
        <v>44970</v>
      </c>
      <c r="K265" s="16">
        <f t="shared" si="288"/>
        <v>45000</v>
      </c>
      <c r="L265" s="17">
        <v>2832850</v>
      </c>
      <c r="M265" s="45">
        <f t="shared" ref="M265:M269" ca="1" si="295">IF(J265&gt;0,(+$B$1-J265),)</f>
        <v>102</v>
      </c>
      <c r="N265" s="18" t="str">
        <f t="shared" ca="1" si="294"/>
        <v>Муддати тугаган</v>
      </c>
      <c r="O265" s="19">
        <f t="shared" ref="O265:O269" ca="1" si="296">IF(M265&gt;=30,L265, " ")</f>
        <v>2832850</v>
      </c>
      <c r="P265" s="19" t="str">
        <f t="shared" ref="P265:P269" ca="1" si="297">IF(M265&gt;60,"",(IF(M265&gt;30,O265, "")))</f>
        <v/>
      </c>
      <c r="Q265" s="19" t="str">
        <f t="shared" ref="Q265:Q269" ca="1" si="298">IF(M265&gt;90,"",(IF(M265&gt;60,O265, "")))</f>
        <v/>
      </c>
      <c r="R265" s="19">
        <f t="shared" ref="R265:R269" ca="1" si="299">IF(M265&gt;90,L265, " ")</f>
        <v>2832850</v>
      </c>
      <c r="S265" s="20"/>
    </row>
    <row r="266" spans="2:19" x14ac:dyDescent="0.2">
      <c r="B266" s="13" t="s">
        <v>613</v>
      </c>
      <c r="C266" s="40">
        <v>310010647</v>
      </c>
      <c r="D266" s="14">
        <v>945137577</v>
      </c>
      <c r="E266" s="14"/>
      <c r="F266" s="15" t="s">
        <v>13</v>
      </c>
      <c r="G266" s="15" t="s">
        <v>133</v>
      </c>
      <c r="H266" s="15" t="s">
        <v>520</v>
      </c>
      <c r="I266" s="15" t="s">
        <v>557</v>
      </c>
      <c r="J266" s="16">
        <v>45041</v>
      </c>
      <c r="K266" s="16">
        <f t="shared" ref="K266:K268" si="300">IF(J266&gt;0,J266+30," ")</f>
        <v>45071</v>
      </c>
      <c r="L266" s="17">
        <v>1365530</v>
      </c>
      <c r="M266" s="45">
        <f t="shared" ca="1" si="295"/>
        <v>31</v>
      </c>
      <c r="N266" s="18" t="str">
        <f t="shared" ca="1" si="294"/>
        <v>Муддати тугаган</v>
      </c>
      <c r="O266" s="19">
        <f t="shared" ca="1" si="296"/>
        <v>1365530</v>
      </c>
      <c r="P266" s="19">
        <f t="shared" ca="1" si="297"/>
        <v>1365530</v>
      </c>
      <c r="Q266" s="19" t="str">
        <f t="shared" ca="1" si="298"/>
        <v/>
      </c>
      <c r="R266" s="19" t="str">
        <f t="shared" ca="1" si="299"/>
        <v xml:space="preserve"> </v>
      </c>
      <c r="S266" s="20"/>
    </row>
    <row r="267" spans="2:19" x14ac:dyDescent="0.2">
      <c r="B267" s="13" t="s">
        <v>365</v>
      </c>
      <c r="C267" s="40">
        <v>205167029</v>
      </c>
      <c r="D267" s="14">
        <v>901010130</v>
      </c>
      <c r="E267" s="14"/>
      <c r="F267" s="15" t="s">
        <v>64</v>
      </c>
      <c r="G267" s="15" t="s">
        <v>146</v>
      </c>
      <c r="H267" s="15" t="s">
        <v>520</v>
      </c>
      <c r="I267" s="15" t="s">
        <v>68</v>
      </c>
      <c r="J267" s="16">
        <v>45009</v>
      </c>
      <c r="K267" s="16">
        <f t="shared" si="300"/>
        <v>45039</v>
      </c>
      <c r="L267" s="17">
        <v>13620800</v>
      </c>
      <c r="M267" s="45">
        <f t="shared" ca="1" si="295"/>
        <v>63</v>
      </c>
      <c r="N267" s="18" t="str">
        <f t="shared" ref="N267:N270" ca="1" si="301">IF(M267=0," ",IF(M267&gt;=30,"Муддати тугаган"," "))</f>
        <v>Муддати тугаган</v>
      </c>
      <c r="O267" s="19">
        <f t="shared" ca="1" si="296"/>
        <v>13620800</v>
      </c>
      <c r="P267" s="19" t="str">
        <f t="shared" ca="1" si="297"/>
        <v/>
      </c>
      <c r="Q267" s="19">
        <f t="shared" ca="1" si="298"/>
        <v>13620800</v>
      </c>
      <c r="R267" s="19" t="str">
        <f t="shared" ca="1" si="299"/>
        <v xml:space="preserve"> </v>
      </c>
      <c r="S267" s="20"/>
    </row>
    <row r="268" spans="2:19" x14ac:dyDescent="0.2">
      <c r="B268" s="13" t="s">
        <v>366</v>
      </c>
      <c r="C268" s="40">
        <v>300242134</v>
      </c>
      <c r="D268" s="14">
        <v>997046166</v>
      </c>
      <c r="E268" s="14"/>
      <c r="F268" s="15" t="s">
        <v>522</v>
      </c>
      <c r="G268" s="15" t="s">
        <v>291</v>
      </c>
      <c r="H268" s="15" t="s">
        <v>508</v>
      </c>
      <c r="I268" s="15" t="s">
        <v>516</v>
      </c>
      <c r="J268" s="16">
        <v>45023</v>
      </c>
      <c r="K268" s="16">
        <f t="shared" si="300"/>
        <v>45053</v>
      </c>
      <c r="L268" s="17">
        <v>2000000</v>
      </c>
      <c r="M268" s="45">
        <f t="shared" ca="1" si="295"/>
        <v>49</v>
      </c>
      <c r="N268" s="18" t="str">
        <f t="shared" ca="1" si="301"/>
        <v>Муддати тугаган</v>
      </c>
      <c r="O268" s="19">
        <f t="shared" ca="1" si="296"/>
        <v>2000000</v>
      </c>
      <c r="P268" s="19">
        <f t="shared" ca="1" si="297"/>
        <v>2000000</v>
      </c>
      <c r="Q268" s="19" t="str">
        <f t="shared" ca="1" si="298"/>
        <v/>
      </c>
      <c r="R268" s="19" t="str">
        <f t="shared" ca="1" si="299"/>
        <v xml:space="preserve"> </v>
      </c>
      <c r="S268" s="20"/>
    </row>
    <row r="269" spans="2:19" x14ac:dyDescent="0.2">
      <c r="B269" s="13" t="s">
        <v>333</v>
      </c>
      <c r="C269" s="40">
        <v>308976084</v>
      </c>
      <c r="D269" s="14">
        <v>975102553</v>
      </c>
      <c r="E269" s="14"/>
      <c r="F269" s="15" t="s">
        <v>17</v>
      </c>
      <c r="G269" s="15" t="s">
        <v>18</v>
      </c>
      <c r="H269" s="15" t="s">
        <v>520</v>
      </c>
      <c r="I269" s="15" t="s">
        <v>19</v>
      </c>
      <c r="J269" s="16">
        <v>44943</v>
      </c>
      <c r="K269" s="16">
        <f t="shared" ref="K269:K272" si="302">IF(J269&gt;0,J269+30," ")</f>
        <v>44973</v>
      </c>
      <c r="L269" s="17">
        <v>800</v>
      </c>
      <c r="M269" s="45">
        <f t="shared" ca="1" si="295"/>
        <v>129</v>
      </c>
      <c r="N269" s="18" t="str">
        <f t="shared" ca="1" si="301"/>
        <v>Муддати тугаган</v>
      </c>
      <c r="O269" s="19">
        <f t="shared" ca="1" si="296"/>
        <v>800</v>
      </c>
      <c r="P269" s="19" t="str">
        <f t="shared" ca="1" si="297"/>
        <v/>
      </c>
      <c r="Q269" s="19" t="str">
        <f t="shared" ca="1" si="298"/>
        <v/>
      </c>
      <c r="R269" s="19">
        <f t="shared" ca="1" si="299"/>
        <v>800</v>
      </c>
      <c r="S269" s="20"/>
    </row>
    <row r="270" spans="2:19" x14ac:dyDescent="0.2">
      <c r="B270" s="13" t="s">
        <v>367</v>
      </c>
      <c r="C270" s="40">
        <v>307493252</v>
      </c>
      <c r="D270" s="14">
        <v>712204334</v>
      </c>
      <c r="E270" s="14"/>
      <c r="F270" s="15" t="s">
        <v>526</v>
      </c>
      <c r="G270" s="15" t="s">
        <v>199</v>
      </c>
      <c r="H270" s="15" t="s">
        <v>508</v>
      </c>
      <c r="I270" s="15" t="s">
        <v>513</v>
      </c>
      <c r="J270" s="16">
        <v>44984</v>
      </c>
      <c r="K270" s="16">
        <f t="shared" si="302"/>
        <v>45014</v>
      </c>
      <c r="L270" s="17">
        <v>1600000</v>
      </c>
      <c r="M270" s="45">
        <f t="shared" ref="M270:M273" ca="1" si="303">IF(J270&gt;0,(+$B$1-J270),)</f>
        <v>88</v>
      </c>
      <c r="N270" s="18" t="str">
        <f t="shared" ca="1" si="301"/>
        <v>Муддати тугаган</v>
      </c>
      <c r="O270" s="19">
        <f t="shared" ref="O270:O273" ca="1" si="304">IF(M270&gt;=30,L270, " ")</f>
        <v>1600000</v>
      </c>
      <c r="P270" s="19" t="str">
        <f t="shared" ref="P270:P273" ca="1" si="305">IF(M270&gt;60,"",(IF(M270&gt;30,O270, "")))</f>
        <v/>
      </c>
      <c r="Q270" s="19">
        <f t="shared" ref="Q270:Q273" ca="1" si="306">IF(M270&gt;90,"",(IF(M270&gt;60,O270, "")))</f>
        <v>1600000</v>
      </c>
      <c r="R270" s="19" t="str">
        <f t="shared" ref="R270:R273" ca="1" si="307">IF(M270&gt;90,L270, " ")</f>
        <v xml:space="preserve"> </v>
      </c>
      <c r="S270" s="20"/>
    </row>
    <row r="271" spans="2:19" x14ac:dyDescent="0.2">
      <c r="B271" s="13" t="s">
        <v>368</v>
      </c>
      <c r="C271" s="40">
        <v>309473315</v>
      </c>
      <c r="D271" s="14">
        <v>999731999</v>
      </c>
      <c r="E271" s="14"/>
      <c r="F271" s="15" t="s">
        <v>55</v>
      </c>
      <c r="G271" s="15" t="s">
        <v>247</v>
      </c>
      <c r="H271" s="15" t="s">
        <v>520</v>
      </c>
      <c r="I271" s="15" t="s">
        <v>59</v>
      </c>
      <c r="J271" s="16">
        <v>44985</v>
      </c>
      <c r="K271" s="16">
        <f t="shared" si="302"/>
        <v>45015</v>
      </c>
      <c r="L271" s="17">
        <v>438500</v>
      </c>
      <c r="M271" s="45">
        <f t="shared" ca="1" si="303"/>
        <v>87</v>
      </c>
      <c r="N271" s="18" t="str">
        <f t="shared" ref="N271:N272" ca="1" si="308">IF(M271=0," ",IF(M271&gt;=30,"Муддати тугаган"," "))</f>
        <v>Муддати тугаган</v>
      </c>
      <c r="O271" s="19">
        <f t="shared" ca="1" si="304"/>
        <v>438500</v>
      </c>
      <c r="P271" s="19" t="str">
        <f t="shared" ca="1" si="305"/>
        <v/>
      </c>
      <c r="Q271" s="19">
        <f t="shared" ca="1" si="306"/>
        <v>438500</v>
      </c>
      <c r="R271" s="19" t="str">
        <f t="shared" ca="1" si="307"/>
        <v xml:space="preserve"> </v>
      </c>
      <c r="S271" s="20"/>
    </row>
    <row r="272" spans="2:19" x14ac:dyDescent="0.2">
      <c r="B272" s="13" t="s">
        <v>368</v>
      </c>
      <c r="C272" s="40">
        <v>309473315</v>
      </c>
      <c r="D272" s="14">
        <v>999731999</v>
      </c>
      <c r="E272" s="14"/>
      <c r="F272" s="15" t="s">
        <v>55</v>
      </c>
      <c r="G272" s="15" t="s">
        <v>247</v>
      </c>
      <c r="H272" s="15" t="s">
        <v>520</v>
      </c>
      <c r="I272" s="15" t="s">
        <v>59</v>
      </c>
      <c r="J272" s="16">
        <v>45008</v>
      </c>
      <c r="K272" s="16">
        <f t="shared" si="302"/>
        <v>45038</v>
      </c>
      <c r="L272" s="17">
        <v>2101500</v>
      </c>
      <c r="M272" s="45">
        <f t="shared" ca="1" si="303"/>
        <v>64</v>
      </c>
      <c r="N272" s="18" t="str">
        <f t="shared" ca="1" si="308"/>
        <v>Муддати тугаган</v>
      </c>
      <c r="O272" s="19">
        <f t="shared" ca="1" si="304"/>
        <v>2101500</v>
      </c>
      <c r="P272" s="19" t="str">
        <f t="shared" ca="1" si="305"/>
        <v/>
      </c>
      <c r="Q272" s="19">
        <f t="shared" ca="1" si="306"/>
        <v>2101500</v>
      </c>
      <c r="R272" s="19" t="str">
        <f t="shared" ca="1" si="307"/>
        <v xml:space="preserve"> </v>
      </c>
      <c r="S272" s="20"/>
    </row>
    <row r="273" spans="2:19" x14ac:dyDescent="0.2">
      <c r="B273" s="13" t="s">
        <v>188</v>
      </c>
      <c r="C273" s="40">
        <v>309632590</v>
      </c>
      <c r="D273" s="14">
        <v>908362788</v>
      </c>
      <c r="E273" s="14"/>
      <c r="F273" s="15" t="s">
        <v>24</v>
      </c>
      <c r="G273" s="15" t="s">
        <v>103</v>
      </c>
      <c r="H273" s="15" t="s">
        <v>520</v>
      </c>
      <c r="I273" s="15" t="s">
        <v>26</v>
      </c>
      <c r="J273" s="16">
        <v>44965</v>
      </c>
      <c r="K273" s="16">
        <f t="shared" ref="K273:K280" si="309">IF(J273&gt;0,J273+30," ")</f>
        <v>44995</v>
      </c>
      <c r="L273" s="17">
        <v>2172000</v>
      </c>
      <c r="M273" s="45">
        <f t="shared" ca="1" si="303"/>
        <v>107</v>
      </c>
      <c r="N273" s="18" t="str">
        <f t="shared" ref="N273:N279" ca="1" si="310">IF(M273=0," ",IF(M273&gt;=30,"Муддати тугаган"," "))</f>
        <v>Муддати тугаган</v>
      </c>
      <c r="O273" s="19">
        <f t="shared" ca="1" si="304"/>
        <v>2172000</v>
      </c>
      <c r="P273" s="19" t="str">
        <f t="shared" ca="1" si="305"/>
        <v/>
      </c>
      <c r="Q273" s="19" t="str">
        <f t="shared" ca="1" si="306"/>
        <v/>
      </c>
      <c r="R273" s="19">
        <f t="shared" ca="1" si="307"/>
        <v>2172000</v>
      </c>
      <c r="S273" s="20"/>
    </row>
    <row r="274" spans="2:19" x14ac:dyDescent="0.2">
      <c r="B274" s="24" t="s">
        <v>370</v>
      </c>
      <c r="C274" s="43">
        <v>206447564</v>
      </c>
      <c r="D274" s="25"/>
      <c r="E274" s="14"/>
      <c r="F274" s="26" t="s">
        <v>50</v>
      </c>
      <c r="G274" s="26" t="s">
        <v>50</v>
      </c>
      <c r="H274" s="26" t="s">
        <v>520</v>
      </c>
      <c r="I274" s="26" t="s">
        <v>53</v>
      </c>
      <c r="J274" s="27">
        <v>44167</v>
      </c>
      <c r="K274" s="27">
        <f t="shared" si="309"/>
        <v>44197</v>
      </c>
      <c r="L274" s="37">
        <v>4348600</v>
      </c>
      <c r="M274" s="46">
        <f t="shared" ref="M274:M280" ca="1" si="311">IF(J274&gt;0,(+$B$1-J274),)</f>
        <v>905</v>
      </c>
      <c r="N274" s="57" t="str">
        <f t="shared" ca="1" si="310"/>
        <v>Муддати тугаган</v>
      </c>
      <c r="O274" s="29">
        <f t="shared" ref="O274:O280" ca="1" si="312">IF(M274&gt;=30,L274, " ")</f>
        <v>4348600</v>
      </c>
      <c r="P274" s="29" t="str">
        <f t="shared" ref="P274:P280" ca="1" si="313">IF(M274&gt;60,"",(IF(M274&gt;30,O274, "")))</f>
        <v/>
      </c>
      <c r="Q274" s="29" t="str">
        <f t="shared" ref="Q274:Q280" ca="1" si="314">IF(M274&gt;90,"",(IF(M274&gt;60,O274, "")))</f>
        <v/>
      </c>
      <c r="R274" s="29">
        <f t="shared" ref="R274:R280" ca="1" si="315">IF(M274&gt;90,L274, " ")</f>
        <v>4348600</v>
      </c>
      <c r="S274" s="20"/>
    </row>
    <row r="275" spans="2:19" x14ac:dyDescent="0.2">
      <c r="B275" s="13" t="s">
        <v>371</v>
      </c>
      <c r="C275" s="40">
        <v>203348183</v>
      </c>
      <c r="D275" s="14">
        <v>943140707</v>
      </c>
      <c r="E275" s="14"/>
      <c r="F275" s="15" t="s">
        <v>17</v>
      </c>
      <c r="G275" s="15" t="s">
        <v>18</v>
      </c>
      <c r="H275" s="15" t="s">
        <v>520</v>
      </c>
      <c r="I275" s="15" t="s">
        <v>129</v>
      </c>
      <c r="J275" s="16">
        <v>44981</v>
      </c>
      <c r="K275" s="16">
        <f t="shared" si="309"/>
        <v>45011</v>
      </c>
      <c r="L275" s="17">
        <v>1546490</v>
      </c>
      <c r="M275" s="45">
        <f t="shared" ca="1" si="311"/>
        <v>91</v>
      </c>
      <c r="N275" s="18" t="str">
        <f t="shared" ca="1" si="310"/>
        <v>Муддати тугаган</v>
      </c>
      <c r="O275" s="19">
        <f t="shared" ca="1" si="312"/>
        <v>1546490</v>
      </c>
      <c r="P275" s="19" t="str">
        <f t="shared" ca="1" si="313"/>
        <v/>
      </c>
      <c r="Q275" s="19" t="str">
        <f t="shared" ca="1" si="314"/>
        <v/>
      </c>
      <c r="R275" s="19">
        <f t="shared" ca="1" si="315"/>
        <v>1546490</v>
      </c>
      <c r="S275" s="20"/>
    </row>
    <row r="276" spans="2:19" x14ac:dyDescent="0.2">
      <c r="B276" s="24" t="s">
        <v>372</v>
      </c>
      <c r="C276" s="43">
        <v>307197897</v>
      </c>
      <c r="D276" s="25"/>
      <c r="E276" s="14"/>
      <c r="F276" s="26" t="s">
        <v>64</v>
      </c>
      <c r="G276" s="26" t="s">
        <v>191</v>
      </c>
      <c r="H276" s="26" t="s">
        <v>520</v>
      </c>
      <c r="I276" s="26" t="s">
        <v>68</v>
      </c>
      <c r="J276" s="27">
        <v>44414</v>
      </c>
      <c r="K276" s="27">
        <f t="shared" si="309"/>
        <v>44444</v>
      </c>
      <c r="L276" s="37">
        <v>522500</v>
      </c>
      <c r="M276" s="46">
        <f t="shared" ca="1" si="311"/>
        <v>658</v>
      </c>
      <c r="N276" s="57" t="str">
        <f t="shared" ca="1" si="310"/>
        <v>Муддати тугаган</v>
      </c>
      <c r="O276" s="29">
        <f t="shared" ca="1" si="312"/>
        <v>522500</v>
      </c>
      <c r="P276" s="29" t="str">
        <f t="shared" ca="1" si="313"/>
        <v/>
      </c>
      <c r="Q276" s="29" t="str">
        <f t="shared" ca="1" si="314"/>
        <v/>
      </c>
      <c r="R276" s="29">
        <f t="shared" ca="1" si="315"/>
        <v>522500</v>
      </c>
      <c r="S276" s="20"/>
    </row>
    <row r="277" spans="2:19" x14ac:dyDescent="0.2">
      <c r="B277" s="13" t="s">
        <v>373</v>
      </c>
      <c r="C277" s="40">
        <v>302112776</v>
      </c>
      <c r="D277" s="14">
        <v>990061999</v>
      </c>
      <c r="E277" s="14"/>
      <c r="F277" s="15" t="s">
        <v>55</v>
      </c>
      <c r="G277" s="15" t="s">
        <v>55</v>
      </c>
      <c r="H277" s="15" t="s">
        <v>520</v>
      </c>
      <c r="I277" s="15" t="s">
        <v>60</v>
      </c>
      <c r="J277" s="16">
        <v>45020</v>
      </c>
      <c r="K277" s="16">
        <f t="shared" si="309"/>
        <v>45050</v>
      </c>
      <c r="L277" s="17">
        <v>1013400</v>
      </c>
      <c r="M277" s="45">
        <f t="shared" ca="1" si="311"/>
        <v>52</v>
      </c>
      <c r="N277" s="18" t="str">
        <f t="shared" ca="1" si="310"/>
        <v>Муддати тугаган</v>
      </c>
      <c r="O277" s="19">
        <f t="shared" ca="1" si="312"/>
        <v>1013400</v>
      </c>
      <c r="P277" s="19">
        <f t="shared" ca="1" si="313"/>
        <v>1013400</v>
      </c>
      <c r="Q277" s="19" t="str">
        <f t="shared" ca="1" si="314"/>
        <v/>
      </c>
      <c r="R277" s="19" t="str">
        <f t="shared" ca="1" si="315"/>
        <v xml:space="preserve"> </v>
      </c>
      <c r="S277" s="20"/>
    </row>
    <row r="278" spans="2:19" x14ac:dyDescent="0.2">
      <c r="B278" s="13" t="s">
        <v>374</v>
      </c>
      <c r="C278" s="40">
        <v>303460368</v>
      </c>
      <c r="D278" s="14">
        <v>997011709</v>
      </c>
      <c r="E278" s="14"/>
      <c r="F278" s="15" t="s">
        <v>36</v>
      </c>
      <c r="G278" s="15" t="s">
        <v>268</v>
      </c>
      <c r="H278" s="15" t="s">
        <v>520</v>
      </c>
      <c r="I278" s="15" t="s">
        <v>38</v>
      </c>
      <c r="J278" s="16">
        <v>44978</v>
      </c>
      <c r="K278" s="16">
        <f t="shared" si="309"/>
        <v>45008</v>
      </c>
      <c r="L278" s="17">
        <v>14045400</v>
      </c>
      <c r="M278" s="45">
        <f t="shared" ca="1" si="311"/>
        <v>94</v>
      </c>
      <c r="N278" s="18" t="str">
        <f t="shared" ca="1" si="310"/>
        <v>Муддати тугаган</v>
      </c>
      <c r="O278" s="19">
        <f t="shared" ca="1" si="312"/>
        <v>14045400</v>
      </c>
      <c r="P278" s="19" t="str">
        <f t="shared" ca="1" si="313"/>
        <v/>
      </c>
      <c r="Q278" s="19" t="str">
        <f t="shared" ca="1" si="314"/>
        <v/>
      </c>
      <c r="R278" s="19">
        <f t="shared" ca="1" si="315"/>
        <v>14045400</v>
      </c>
      <c r="S278" s="20"/>
    </row>
    <row r="279" spans="2:19" x14ac:dyDescent="0.2">
      <c r="B279" s="13" t="s">
        <v>375</v>
      </c>
      <c r="C279" s="40">
        <v>302967979</v>
      </c>
      <c r="D279" s="14">
        <v>934836496</v>
      </c>
      <c r="E279" s="14"/>
      <c r="F279" s="15" t="s">
        <v>30</v>
      </c>
      <c r="G279" s="15" t="s">
        <v>162</v>
      </c>
      <c r="H279" s="15" t="s">
        <v>520</v>
      </c>
      <c r="I279" s="15" t="s">
        <v>34</v>
      </c>
      <c r="J279" s="16">
        <v>44900</v>
      </c>
      <c r="K279" s="16">
        <f t="shared" si="309"/>
        <v>44930</v>
      </c>
      <c r="L279" s="17">
        <v>1802700</v>
      </c>
      <c r="M279" s="45">
        <f t="shared" ca="1" si="311"/>
        <v>172</v>
      </c>
      <c r="N279" s="18" t="str">
        <f t="shared" ca="1" si="310"/>
        <v>Муддати тугаган</v>
      </c>
      <c r="O279" s="19">
        <f t="shared" ca="1" si="312"/>
        <v>1802700</v>
      </c>
      <c r="P279" s="19" t="str">
        <f t="shared" ca="1" si="313"/>
        <v/>
      </c>
      <c r="Q279" s="19" t="str">
        <f t="shared" ca="1" si="314"/>
        <v/>
      </c>
      <c r="R279" s="19">
        <f t="shared" ca="1" si="315"/>
        <v>1802700</v>
      </c>
      <c r="S279" s="20"/>
    </row>
    <row r="280" spans="2:19" x14ac:dyDescent="0.2">
      <c r="B280" s="13" t="s">
        <v>606</v>
      </c>
      <c r="C280" s="40">
        <v>302350379</v>
      </c>
      <c r="D280" s="14">
        <v>974185657</v>
      </c>
      <c r="E280" s="14"/>
      <c r="F280" s="15" t="s">
        <v>24</v>
      </c>
      <c r="G280" s="15" t="s">
        <v>128</v>
      </c>
      <c r="H280" s="15" t="s">
        <v>520</v>
      </c>
      <c r="I280" s="15" t="s">
        <v>85</v>
      </c>
      <c r="J280" s="16">
        <v>45034</v>
      </c>
      <c r="K280" s="16">
        <f t="shared" si="309"/>
        <v>45064</v>
      </c>
      <c r="L280" s="17">
        <v>156600</v>
      </c>
      <c r="M280" s="45">
        <f t="shared" ca="1" si="311"/>
        <v>38</v>
      </c>
      <c r="N280" s="18" t="str">
        <f t="shared" ref="N280:N282" ca="1" si="316">IF(M280=0," ",IF(M280&gt;=30,"Муддати тугаган"," "))</f>
        <v>Муддати тугаган</v>
      </c>
      <c r="O280" s="19">
        <f t="shared" ca="1" si="312"/>
        <v>156600</v>
      </c>
      <c r="P280" s="19">
        <f t="shared" ca="1" si="313"/>
        <v>156600</v>
      </c>
      <c r="Q280" s="19" t="str">
        <f t="shared" ca="1" si="314"/>
        <v/>
      </c>
      <c r="R280" s="19" t="str">
        <f t="shared" ca="1" si="315"/>
        <v xml:space="preserve"> </v>
      </c>
      <c r="S280" s="20"/>
    </row>
    <row r="281" spans="2:19" x14ac:dyDescent="0.2">
      <c r="B281" s="13" t="s">
        <v>376</v>
      </c>
      <c r="C281" s="40">
        <v>301256416</v>
      </c>
      <c r="D281" s="14">
        <v>934885499</v>
      </c>
      <c r="E281" s="14"/>
      <c r="F281" s="15" t="s">
        <v>13</v>
      </c>
      <c r="G281" s="15" t="s">
        <v>151</v>
      </c>
      <c r="H281" s="15" t="s">
        <v>520</v>
      </c>
      <c r="I281" s="15" t="s">
        <v>122</v>
      </c>
      <c r="J281" s="16">
        <v>45016</v>
      </c>
      <c r="K281" s="16">
        <f t="shared" ref="K281:K282" si="317">IF(J281&gt;0,J281+30," ")</f>
        <v>45046</v>
      </c>
      <c r="L281" s="17">
        <v>347550</v>
      </c>
      <c r="M281" s="45">
        <f t="shared" ref="M281:M282" ca="1" si="318">IF(J281&gt;0,(+$B$1-J281),)</f>
        <v>56</v>
      </c>
      <c r="N281" s="18" t="str">
        <f t="shared" ca="1" si="316"/>
        <v>Муддати тугаган</v>
      </c>
      <c r="O281" s="19">
        <f t="shared" ref="O281:O282" ca="1" si="319">IF(M281&gt;=30,L281, " ")</f>
        <v>347550</v>
      </c>
      <c r="P281" s="19">
        <f t="shared" ref="P281:P282" ca="1" si="320">IF(M281&gt;60,"",(IF(M281&gt;30,O281, "")))</f>
        <v>347550</v>
      </c>
      <c r="Q281" s="19" t="str">
        <f t="shared" ref="Q281:Q282" ca="1" si="321">IF(M281&gt;90,"",(IF(M281&gt;60,O281, "")))</f>
        <v/>
      </c>
      <c r="R281" s="19" t="str">
        <f t="shared" ref="R281:R282" ca="1" si="322">IF(M281&gt;90,L281, " ")</f>
        <v xml:space="preserve"> </v>
      </c>
      <c r="S281" s="20"/>
    </row>
    <row r="282" spans="2:19" x14ac:dyDescent="0.2">
      <c r="B282" s="13" t="s">
        <v>377</v>
      </c>
      <c r="C282" s="40">
        <v>307830458</v>
      </c>
      <c r="D282" s="14"/>
      <c r="E282" s="14"/>
      <c r="F282" s="15" t="s">
        <v>15</v>
      </c>
      <c r="G282" s="15" t="s">
        <v>156</v>
      </c>
      <c r="H282" s="15" t="s">
        <v>520</v>
      </c>
      <c r="I282" s="15" t="s">
        <v>16</v>
      </c>
      <c r="J282" s="16">
        <v>45026</v>
      </c>
      <c r="K282" s="16">
        <f t="shared" si="317"/>
        <v>45056</v>
      </c>
      <c r="L282" s="17">
        <v>2970300</v>
      </c>
      <c r="M282" s="45">
        <f t="shared" ca="1" si="318"/>
        <v>46</v>
      </c>
      <c r="N282" s="18" t="str">
        <f t="shared" ca="1" si="316"/>
        <v>Муддати тугаган</v>
      </c>
      <c r="O282" s="19">
        <f t="shared" ca="1" si="319"/>
        <v>2970300</v>
      </c>
      <c r="P282" s="19">
        <f t="shared" ca="1" si="320"/>
        <v>2970300</v>
      </c>
      <c r="Q282" s="19" t="str">
        <f t="shared" ca="1" si="321"/>
        <v/>
      </c>
      <c r="R282" s="19" t="str">
        <f t="shared" ca="1" si="322"/>
        <v xml:space="preserve"> </v>
      </c>
      <c r="S282" s="20"/>
    </row>
    <row r="283" spans="2:19" x14ac:dyDescent="0.2">
      <c r="B283" s="13" t="s">
        <v>378</v>
      </c>
      <c r="C283" s="40">
        <v>305809965</v>
      </c>
      <c r="D283" s="14">
        <v>995514171</v>
      </c>
      <c r="E283" s="14"/>
      <c r="F283" s="15" t="s">
        <v>15</v>
      </c>
      <c r="G283" s="15" t="s">
        <v>156</v>
      </c>
      <c r="H283" s="15" t="s">
        <v>520</v>
      </c>
      <c r="I283" s="15" t="s">
        <v>16</v>
      </c>
      <c r="J283" s="16">
        <v>44977</v>
      </c>
      <c r="K283" s="16">
        <f t="shared" ref="K283:K289" si="323">IF(J283&gt;0,J283+30," ")</f>
        <v>45007</v>
      </c>
      <c r="L283" s="17">
        <v>5035680</v>
      </c>
      <c r="M283" s="45">
        <f t="shared" ref="M283:M291" ca="1" si="324">IF(J283&gt;0,(+$B$1-J283),)</f>
        <v>95</v>
      </c>
      <c r="N283" s="18" t="str">
        <f t="shared" ref="N283:N288" ca="1" si="325">IF(M283=0," ",IF(M283&gt;=30,"Муддати тугаган"," "))</f>
        <v>Муддати тугаган</v>
      </c>
      <c r="O283" s="19">
        <f t="shared" ref="O283:O291" ca="1" si="326">IF(M283&gt;=30,L283, " ")</f>
        <v>5035680</v>
      </c>
      <c r="P283" s="19" t="str">
        <f t="shared" ref="P283:P291" ca="1" si="327">IF(M283&gt;60,"",(IF(M283&gt;30,O283, "")))</f>
        <v/>
      </c>
      <c r="Q283" s="19" t="str">
        <f t="shared" ref="Q283:Q291" ca="1" si="328">IF(M283&gt;90,"",(IF(M283&gt;60,O283, "")))</f>
        <v/>
      </c>
      <c r="R283" s="19">
        <f t="shared" ref="R283:R291" ca="1" si="329">IF(M283&gt;90,L283, " ")</f>
        <v>5035680</v>
      </c>
      <c r="S283" s="20"/>
    </row>
    <row r="284" spans="2:19" x14ac:dyDescent="0.2">
      <c r="B284" s="13" t="s">
        <v>378</v>
      </c>
      <c r="C284" s="40">
        <v>305809965</v>
      </c>
      <c r="D284" s="14">
        <v>995514171</v>
      </c>
      <c r="E284" s="14"/>
      <c r="F284" s="15" t="s">
        <v>15</v>
      </c>
      <c r="G284" s="15" t="s">
        <v>156</v>
      </c>
      <c r="H284" s="15" t="s">
        <v>520</v>
      </c>
      <c r="I284" s="15" t="s">
        <v>16</v>
      </c>
      <c r="J284" s="16">
        <v>45010</v>
      </c>
      <c r="K284" s="16">
        <f t="shared" si="323"/>
        <v>45040</v>
      </c>
      <c r="L284" s="17">
        <v>2138050</v>
      </c>
      <c r="M284" s="45">
        <f t="shared" ca="1" si="324"/>
        <v>62</v>
      </c>
      <c r="N284" s="18" t="str">
        <f t="shared" ca="1" si="325"/>
        <v>Муддати тугаган</v>
      </c>
      <c r="O284" s="19">
        <f t="shared" ca="1" si="326"/>
        <v>2138050</v>
      </c>
      <c r="P284" s="19" t="str">
        <f t="shared" ca="1" si="327"/>
        <v/>
      </c>
      <c r="Q284" s="19">
        <f t="shared" ca="1" si="328"/>
        <v>2138050</v>
      </c>
      <c r="R284" s="19" t="str">
        <f t="shared" ca="1" si="329"/>
        <v xml:space="preserve"> </v>
      </c>
      <c r="S284" s="20"/>
    </row>
    <row r="285" spans="2:19" x14ac:dyDescent="0.2">
      <c r="B285" s="13" t="s">
        <v>607</v>
      </c>
      <c r="C285" s="40">
        <v>202731444</v>
      </c>
      <c r="D285" s="14">
        <v>911437342</v>
      </c>
      <c r="E285" s="14"/>
      <c r="F285" s="15" t="s">
        <v>24</v>
      </c>
      <c r="G285" s="15" t="s">
        <v>97</v>
      </c>
      <c r="H285" s="15" t="s">
        <v>520</v>
      </c>
      <c r="I285" s="15" t="s">
        <v>85</v>
      </c>
      <c r="J285" s="16">
        <v>45034</v>
      </c>
      <c r="K285" s="16">
        <f t="shared" si="323"/>
        <v>45064</v>
      </c>
      <c r="L285" s="21">
        <v>1025000</v>
      </c>
      <c r="M285" s="45">
        <f t="shared" ca="1" si="324"/>
        <v>38</v>
      </c>
      <c r="N285" s="18" t="str">
        <f t="shared" ca="1" si="325"/>
        <v>Муддати тугаган</v>
      </c>
      <c r="O285" s="19">
        <f t="shared" ca="1" si="326"/>
        <v>1025000</v>
      </c>
      <c r="P285" s="19">
        <f t="shared" ca="1" si="327"/>
        <v>1025000</v>
      </c>
      <c r="Q285" s="19" t="str">
        <f t="shared" ca="1" si="328"/>
        <v/>
      </c>
      <c r="R285" s="19" t="str">
        <f t="shared" ca="1" si="329"/>
        <v xml:space="preserve"> </v>
      </c>
      <c r="S285" s="20"/>
    </row>
    <row r="286" spans="2:19" x14ac:dyDescent="0.2">
      <c r="B286" s="13" t="s">
        <v>558</v>
      </c>
      <c r="C286" s="40">
        <v>306560454</v>
      </c>
      <c r="D286" s="14">
        <v>997221828</v>
      </c>
      <c r="E286" s="14"/>
      <c r="F286" s="15" t="s">
        <v>13</v>
      </c>
      <c r="G286" s="15" t="s">
        <v>507</v>
      </c>
      <c r="H286" s="15" t="s">
        <v>520</v>
      </c>
      <c r="I286" s="15"/>
      <c r="J286" s="16">
        <v>44985</v>
      </c>
      <c r="K286" s="16">
        <f t="shared" si="323"/>
        <v>45015</v>
      </c>
      <c r="L286" s="17">
        <v>449700</v>
      </c>
      <c r="M286" s="45">
        <f t="shared" ca="1" si="324"/>
        <v>87</v>
      </c>
      <c r="N286" s="18" t="str">
        <f t="shared" ca="1" si="325"/>
        <v>Муддати тугаган</v>
      </c>
      <c r="O286" s="19">
        <f t="shared" ca="1" si="326"/>
        <v>449700</v>
      </c>
      <c r="P286" s="19" t="str">
        <f t="shared" ca="1" si="327"/>
        <v/>
      </c>
      <c r="Q286" s="19">
        <f t="shared" ca="1" si="328"/>
        <v>449700</v>
      </c>
      <c r="R286" s="19" t="str">
        <f t="shared" ca="1" si="329"/>
        <v xml:space="preserve"> </v>
      </c>
      <c r="S286" s="20"/>
    </row>
    <row r="287" spans="2:19" x14ac:dyDescent="0.2">
      <c r="B287" s="13" t="s">
        <v>380</v>
      </c>
      <c r="C287" s="40">
        <v>305196014</v>
      </c>
      <c r="D287" s="14"/>
      <c r="E287" s="14"/>
      <c r="F287" s="15" t="s">
        <v>13</v>
      </c>
      <c r="G287" s="15" t="s">
        <v>126</v>
      </c>
      <c r="H287" s="15" t="s">
        <v>520</v>
      </c>
      <c r="I287" s="15" t="s">
        <v>242</v>
      </c>
      <c r="J287" s="16">
        <v>44845</v>
      </c>
      <c r="K287" s="16">
        <f t="shared" si="323"/>
        <v>44875</v>
      </c>
      <c r="L287" s="17">
        <v>315600</v>
      </c>
      <c r="M287" s="45">
        <f t="shared" ca="1" si="324"/>
        <v>227</v>
      </c>
      <c r="N287" s="18" t="str">
        <f t="shared" ca="1" si="325"/>
        <v>Муддати тугаган</v>
      </c>
      <c r="O287" s="19">
        <f t="shared" ca="1" si="326"/>
        <v>315600</v>
      </c>
      <c r="P287" s="19" t="str">
        <f t="shared" ca="1" si="327"/>
        <v/>
      </c>
      <c r="Q287" s="19" t="str">
        <f t="shared" ca="1" si="328"/>
        <v/>
      </c>
      <c r="R287" s="19">
        <f t="shared" ca="1" si="329"/>
        <v>315600</v>
      </c>
      <c r="S287" s="20"/>
    </row>
    <row r="288" spans="2:19" x14ac:dyDescent="0.2">
      <c r="B288" s="13" t="s">
        <v>380</v>
      </c>
      <c r="C288" s="40">
        <v>305196014</v>
      </c>
      <c r="D288" s="14"/>
      <c r="E288" s="14"/>
      <c r="F288" s="15" t="s">
        <v>13</v>
      </c>
      <c r="G288" s="15" t="s">
        <v>126</v>
      </c>
      <c r="H288" s="15" t="s">
        <v>520</v>
      </c>
      <c r="I288" s="15" t="s">
        <v>242</v>
      </c>
      <c r="J288" s="16">
        <v>44855</v>
      </c>
      <c r="K288" s="16">
        <f t="shared" si="323"/>
        <v>44885</v>
      </c>
      <c r="L288" s="17">
        <v>1172000</v>
      </c>
      <c r="M288" s="45">
        <f t="shared" ca="1" si="324"/>
        <v>217</v>
      </c>
      <c r="N288" s="18" t="str">
        <f t="shared" ca="1" si="325"/>
        <v>Муддати тугаган</v>
      </c>
      <c r="O288" s="19">
        <f t="shared" ca="1" si="326"/>
        <v>1172000</v>
      </c>
      <c r="P288" s="19" t="str">
        <f t="shared" ca="1" si="327"/>
        <v/>
      </c>
      <c r="Q288" s="19" t="str">
        <f t="shared" ca="1" si="328"/>
        <v/>
      </c>
      <c r="R288" s="19">
        <f t="shared" ca="1" si="329"/>
        <v>1172000</v>
      </c>
      <c r="S288" s="20"/>
    </row>
    <row r="289" spans="2:19" x14ac:dyDescent="0.2">
      <c r="B289" s="13" t="s">
        <v>382</v>
      </c>
      <c r="C289" s="40">
        <v>205207959</v>
      </c>
      <c r="D289" s="14">
        <v>972781340</v>
      </c>
      <c r="E289" s="14"/>
      <c r="F289" s="15" t="s">
        <v>75</v>
      </c>
      <c r="G289" s="15" t="s">
        <v>75</v>
      </c>
      <c r="H289" s="15" t="s">
        <v>520</v>
      </c>
      <c r="I289" s="15" t="s">
        <v>77</v>
      </c>
      <c r="J289" s="16">
        <v>44933</v>
      </c>
      <c r="K289" s="16">
        <f t="shared" si="323"/>
        <v>44963</v>
      </c>
      <c r="L289" s="17">
        <v>947000</v>
      </c>
      <c r="M289" s="45">
        <f t="shared" ca="1" si="324"/>
        <v>139</v>
      </c>
      <c r="N289" s="18" t="str">
        <f t="shared" ref="N289:N297" ca="1" si="330">IF(M289=0," ",IF(M289&gt;=30,"Муддати тугаган"," "))</f>
        <v>Муддати тугаган</v>
      </c>
      <c r="O289" s="19">
        <f t="shared" ca="1" si="326"/>
        <v>947000</v>
      </c>
      <c r="P289" s="19" t="str">
        <f t="shared" ca="1" si="327"/>
        <v/>
      </c>
      <c r="Q289" s="19" t="str">
        <f t="shared" ca="1" si="328"/>
        <v/>
      </c>
      <c r="R289" s="19">
        <f t="shared" ca="1" si="329"/>
        <v>947000</v>
      </c>
      <c r="S289" s="20"/>
    </row>
    <row r="290" spans="2:19" x14ac:dyDescent="0.2">
      <c r="B290" s="13" t="s">
        <v>383</v>
      </c>
      <c r="C290" s="40">
        <v>305163506</v>
      </c>
      <c r="D290" s="14">
        <v>994584000</v>
      </c>
      <c r="E290" s="14"/>
      <c r="F290" s="15" t="s">
        <v>15</v>
      </c>
      <c r="G290" s="15" t="s">
        <v>384</v>
      </c>
      <c r="H290" s="15" t="s">
        <v>520</v>
      </c>
      <c r="I290" s="15" t="s">
        <v>41</v>
      </c>
      <c r="J290" s="16">
        <v>44977</v>
      </c>
      <c r="K290" s="16">
        <f t="shared" ref="K290:K302" si="331">IF(J290&gt;0,J290+30," ")</f>
        <v>45007</v>
      </c>
      <c r="L290" s="17">
        <v>891750</v>
      </c>
      <c r="M290" s="45">
        <f t="shared" ca="1" si="324"/>
        <v>95</v>
      </c>
      <c r="N290" s="18" t="str">
        <f t="shared" ca="1" si="330"/>
        <v>Муддати тугаган</v>
      </c>
      <c r="O290" s="19">
        <f t="shared" ca="1" si="326"/>
        <v>891750</v>
      </c>
      <c r="P290" s="19" t="str">
        <f t="shared" ca="1" si="327"/>
        <v/>
      </c>
      <c r="Q290" s="19" t="str">
        <f t="shared" ca="1" si="328"/>
        <v/>
      </c>
      <c r="R290" s="19">
        <f t="shared" ca="1" si="329"/>
        <v>891750</v>
      </c>
      <c r="S290" s="20"/>
    </row>
    <row r="291" spans="2:19" x14ac:dyDescent="0.2">
      <c r="B291" s="13" t="s">
        <v>383</v>
      </c>
      <c r="C291" s="40">
        <v>305163506</v>
      </c>
      <c r="D291" s="14">
        <v>994584000</v>
      </c>
      <c r="E291" s="14"/>
      <c r="F291" s="15" t="s">
        <v>15</v>
      </c>
      <c r="G291" s="15" t="s">
        <v>384</v>
      </c>
      <c r="H291" s="15" t="s">
        <v>520</v>
      </c>
      <c r="I291" s="15" t="s">
        <v>41</v>
      </c>
      <c r="J291" s="16">
        <v>44999</v>
      </c>
      <c r="K291" s="16">
        <f t="shared" si="331"/>
        <v>45029</v>
      </c>
      <c r="L291" s="17">
        <v>1099000</v>
      </c>
      <c r="M291" s="45">
        <f t="shared" ca="1" si="324"/>
        <v>73</v>
      </c>
      <c r="N291" s="18" t="str">
        <f t="shared" ca="1" si="330"/>
        <v>Муддати тугаган</v>
      </c>
      <c r="O291" s="19">
        <f t="shared" ca="1" si="326"/>
        <v>1099000</v>
      </c>
      <c r="P291" s="19" t="str">
        <f t="shared" ca="1" si="327"/>
        <v/>
      </c>
      <c r="Q291" s="19">
        <f t="shared" ca="1" si="328"/>
        <v>1099000</v>
      </c>
      <c r="R291" s="19" t="str">
        <f t="shared" ca="1" si="329"/>
        <v xml:space="preserve"> </v>
      </c>
      <c r="S291" s="20"/>
    </row>
    <row r="292" spans="2:19" x14ac:dyDescent="0.2">
      <c r="B292" s="13" t="s">
        <v>386</v>
      </c>
      <c r="C292" s="40">
        <v>300975947</v>
      </c>
      <c r="D292" s="14">
        <v>990290050</v>
      </c>
      <c r="E292" s="14"/>
      <c r="F292" s="15" t="s">
        <v>15</v>
      </c>
      <c r="G292" s="15" t="s">
        <v>384</v>
      </c>
      <c r="H292" s="15" t="s">
        <v>520</v>
      </c>
      <c r="I292" s="15" t="s">
        <v>41</v>
      </c>
      <c r="J292" s="16">
        <v>44774</v>
      </c>
      <c r="K292" s="16">
        <f t="shared" si="331"/>
        <v>44804</v>
      </c>
      <c r="L292" s="17">
        <v>886500</v>
      </c>
      <c r="M292" s="45">
        <f t="shared" ref="M292:M302" ca="1" si="332">IF(J292&gt;0,(+$B$1-J292),)</f>
        <v>298</v>
      </c>
      <c r="N292" s="18" t="str">
        <f t="shared" ca="1" si="330"/>
        <v>Муддати тугаган</v>
      </c>
      <c r="O292" s="19">
        <f t="shared" ref="O292:O302" ca="1" si="333">IF(M292&gt;=30,L292, " ")</f>
        <v>886500</v>
      </c>
      <c r="P292" s="19" t="str">
        <f t="shared" ref="P292:P302" ca="1" si="334">IF(M292&gt;60,"",(IF(M292&gt;30,O292, "")))</f>
        <v/>
      </c>
      <c r="Q292" s="19" t="str">
        <f t="shared" ref="Q292:Q302" ca="1" si="335">IF(M292&gt;90,"",(IF(M292&gt;60,O292, "")))</f>
        <v/>
      </c>
      <c r="R292" s="19">
        <f t="shared" ref="R292:R302" ca="1" si="336">IF(M292&gt;90,L292, " ")</f>
        <v>886500</v>
      </c>
      <c r="S292" s="20"/>
    </row>
    <row r="293" spans="2:19" x14ac:dyDescent="0.2">
      <c r="B293" s="13" t="s">
        <v>386</v>
      </c>
      <c r="C293" s="40">
        <v>300975947</v>
      </c>
      <c r="D293" s="14">
        <v>990290050</v>
      </c>
      <c r="E293" s="14"/>
      <c r="F293" s="15" t="s">
        <v>15</v>
      </c>
      <c r="G293" s="15" t="s">
        <v>384</v>
      </c>
      <c r="H293" s="15" t="s">
        <v>520</v>
      </c>
      <c r="I293" s="15" t="s">
        <v>41</v>
      </c>
      <c r="J293" s="16">
        <v>44784</v>
      </c>
      <c r="K293" s="16">
        <f t="shared" si="331"/>
        <v>44814</v>
      </c>
      <c r="L293" s="17">
        <v>2073200</v>
      </c>
      <c r="M293" s="45">
        <f t="shared" ca="1" si="332"/>
        <v>288</v>
      </c>
      <c r="N293" s="18" t="str">
        <f t="shared" ca="1" si="330"/>
        <v>Муддати тугаган</v>
      </c>
      <c r="O293" s="19">
        <f t="shared" ca="1" si="333"/>
        <v>2073200</v>
      </c>
      <c r="P293" s="19" t="str">
        <f t="shared" ca="1" si="334"/>
        <v/>
      </c>
      <c r="Q293" s="19" t="str">
        <f t="shared" ca="1" si="335"/>
        <v/>
      </c>
      <c r="R293" s="19">
        <f t="shared" ca="1" si="336"/>
        <v>2073200</v>
      </c>
      <c r="S293" s="20"/>
    </row>
    <row r="294" spans="2:19" x14ac:dyDescent="0.2">
      <c r="B294" s="13" t="s">
        <v>386</v>
      </c>
      <c r="C294" s="40">
        <v>300975947</v>
      </c>
      <c r="D294" s="14">
        <v>990290050</v>
      </c>
      <c r="E294" s="14"/>
      <c r="F294" s="15" t="s">
        <v>15</v>
      </c>
      <c r="G294" s="15" t="s">
        <v>384</v>
      </c>
      <c r="H294" s="15" t="s">
        <v>520</v>
      </c>
      <c r="I294" s="15" t="s">
        <v>41</v>
      </c>
      <c r="J294" s="16">
        <v>44820</v>
      </c>
      <c r="K294" s="16">
        <f t="shared" si="331"/>
        <v>44850</v>
      </c>
      <c r="L294" s="17">
        <v>12578300</v>
      </c>
      <c r="M294" s="45">
        <f t="shared" ca="1" si="332"/>
        <v>252</v>
      </c>
      <c r="N294" s="18" t="str">
        <f t="shared" ca="1" si="330"/>
        <v>Муддати тугаган</v>
      </c>
      <c r="O294" s="19">
        <f t="shared" ca="1" si="333"/>
        <v>12578300</v>
      </c>
      <c r="P294" s="19" t="str">
        <f t="shared" ca="1" si="334"/>
        <v/>
      </c>
      <c r="Q294" s="19" t="str">
        <f t="shared" ca="1" si="335"/>
        <v/>
      </c>
      <c r="R294" s="19">
        <f t="shared" ca="1" si="336"/>
        <v>12578300</v>
      </c>
      <c r="S294" s="20"/>
    </row>
    <row r="295" spans="2:19" x14ac:dyDescent="0.2">
      <c r="B295" s="13" t="s">
        <v>387</v>
      </c>
      <c r="C295" s="40">
        <v>302427502</v>
      </c>
      <c r="D295" s="14">
        <v>977278627</v>
      </c>
      <c r="E295" s="14"/>
      <c r="F295" s="15" t="s">
        <v>64</v>
      </c>
      <c r="G295" s="15" t="s">
        <v>146</v>
      </c>
      <c r="H295" s="15" t="s">
        <v>520</v>
      </c>
      <c r="I295" s="15" t="s">
        <v>68</v>
      </c>
      <c r="J295" s="16">
        <v>44921</v>
      </c>
      <c r="K295" s="16">
        <f t="shared" si="331"/>
        <v>44951</v>
      </c>
      <c r="L295" s="17">
        <v>21029700</v>
      </c>
      <c r="M295" s="45">
        <f t="shared" ca="1" si="332"/>
        <v>151</v>
      </c>
      <c r="N295" s="18" t="str">
        <f t="shared" ca="1" si="330"/>
        <v>Муддати тугаган</v>
      </c>
      <c r="O295" s="19">
        <f t="shared" ca="1" si="333"/>
        <v>21029700</v>
      </c>
      <c r="P295" s="19" t="str">
        <f t="shared" ca="1" si="334"/>
        <v/>
      </c>
      <c r="Q295" s="19" t="str">
        <f t="shared" ca="1" si="335"/>
        <v/>
      </c>
      <c r="R295" s="19">
        <f t="shared" ca="1" si="336"/>
        <v>21029700</v>
      </c>
      <c r="S295" s="20"/>
    </row>
    <row r="296" spans="2:19" x14ac:dyDescent="0.2">
      <c r="B296" s="13" t="s">
        <v>388</v>
      </c>
      <c r="C296" s="40">
        <v>307897359</v>
      </c>
      <c r="D296" s="14">
        <v>993230155</v>
      </c>
      <c r="E296" s="14"/>
      <c r="F296" s="15" t="s">
        <v>55</v>
      </c>
      <c r="G296" s="15" t="s">
        <v>209</v>
      </c>
      <c r="H296" s="15" t="s">
        <v>520</v>
      </c>
      <c r="I296" s="15" t="s">
        <v>58</v>
      </c>
      <c r="J296" s="16">
        <v>45026</v>
      </c>
      <c r="K296" s="16">
        <f t="shared" si="331"/>
        <v>45056</v>
      </c>
      <c r="L296" s="17">
        <v>2242800</v>
      </c>
      <c r="M296" s="45">
        <f t="shared" ca="1" si="332"/>
        <v>46</v>
      </c>
      <c r="N296" s="18" t="str">
        <f t="shared" ca="1" si="330"/>
        <v>Муддати тугаган</v>
      </c>
      <c r="O296" s="19">
        <f t="shared" ca="1" si="333"/>
        <v>2242800</v>
      </c>
      <c r="P296" s="19">
        <f t="shared" ca="1" si="334"/>
        <v>2242800</v>
      </c>
      <c r="Q296" s="19" t="str">
        <f t="shared" ca="1" si="335"/>
        <v/>
      </c>
      <c r="R296" s="19" t="str">
        <f t="shared" ca="1" si="336"/>
        <v xml:space="preserve"> </v>
      </c>
      <c r="S296" s="20"/>
    </row>
    <row r="297" spans="2:19" x14ac:dyDescent="0.2">
      <c r="B297" s="13" t="s">
        <v>587</v>
      </c>
      <c r="C297" s="40">
        <v>303461595</v>
      </c>
      <c r="D297" s="14">
        <v>933303373</v>
      </c>
      <c r="E297" s="14"/>
      <c r="F297" s="15" t="s">
        <v>63</v>
      </c>
      <c r="G297" s="15"/>
      <c r="H297" s="15" t="s">
        <v>520</v>
      </c>
      <c r="I297" s="15"/>
      <c r="J297" s="16" t="s">
        <v>588</v>
      </c>
      <c r="K297" s="16">
        <f t="shared" si="331"/>
        <v>44968</v>
      </c>
      <c r="L297" s="17">
        <v>3155575</v>
      </c>
      <c r="M297" s="45">
        <f t="shared" ca="1" si="332"/>
        <v>134</v>
      </c>
      <c r="N297" s="18" t="str">
        <f t="shared" ca="1" si="330"/>
        <v>Муддати тугаган</v>
      </c>
      <c r="O297" s="19">
        <f t="shared" ca="1" si="333"/>
        <v>3155575</v>
      </c>
      <c r="P297" s="19" t="str">
        <f t="shared" ca="1" si="334"/>
        <v/>
      </c>
      <c r="Q297" s="19" t="str">
        <f t="shared" ca="1" si="335"/>
        <v/>
      </c>
      <c r="R297" s="19">
        <f t="shared" ca="1" si="336"/>
        <v>3155575</v>
      </c>
      <c r="S297" s="20"/>
    </row>
    <row r="298" spans="2:19" x14ac:dyDescent="0.2">
      <c r="B298" s="13" t="s">
        <v>587</v>
      </c>
      <c r="C298" s="40">
        <v>303461595</v>
      </c>
      <c r="D298" s="14">
        <v>933303373</v>
      </c>
      <c r="E298" s="14"/>
      <c r="F298" s="15" t="s">
        <v>63</v>
      </c>
      <c r="G298" s="15"/>
      <c r="H298" s="15" t="s">
        <v>520</v>
      </c>
      <c r="I298" s="15"/>
      <c r="J298" s="16" t="s">
        <v>589</v>
      </c>
      <c r="K298" s="16">
        <f t="shared" si="331"/>
        <v>44986</v>
      </c>
      <c r="L298" s="17">
        <v>11954200</v>
      </c>
      <c r="M298" s="45">
        <f t="shared" ca="1" si="332"/>
        <v>116</v>
      </c>
      <c r="N298" s="18" t="str">
        <f t="shared" ref="N298:N305" ca="1" si="337">IF(M298=0," ",IF(M298&gt;=30,"Муддати тугаган"," "))</f>
        <v>Муддати тугаган</v>
      </c>
      <c r="O298" s="19">
        <f t="shared" ca="1" si="333"/>
        <v>11954200</v>
      </c>
      <c r="P298" s="19" t="str">
        <f t="shared" ca="1" si="334"/>
        <v/>
      </c>
      <c r="Q298" s="19" t="str">
        <f t="shared" ca="1" si="335"/>
        <v/>
      </c>
      <c r="R298" s="19">
        <f t="shared" ca="1" si="336"/>
        <v>11954200</v>
      </c>
      <c r="S298" s="20"/>
    </row>
    <row r="299" spans="2:19" x14ac:dyDescent="0.2">
      <c r="B299" s="13" t="s">
        <v>587</v>
      </c>
      <c r="C299" s="40">
        <v>303461595</v>
      </c>
      <c r="D299" s="14">
        <v>933303373</v>
      </c>
      <c r="E299" s="14"/>
      <c r="F299" s="15" t="s">
        <v>63</v>
      </c>
      <c r="G299" s="15"/>
      <c r="H299" s="15" t="s">
        <v>520</v>
      </c>
      <c r="I299" s="15"/>
      <c r="J299" s="16" t="s">
        <v>590</v>
      </c>
      <c r="K299" s="16">
        <f t="shared" si="331"/>
        <v>45007</v>
      </c>
      <c r="L299" s="17">
        <v>17772200</v>
      </c>
      <c r="M299" s="45">
        <f t="shared" ca="1" si="332"/>
        <v>95</v>
      </c>
      <c r="N299" s="18" t="str">
        <f t="shared" ca="1" si="337"/>
        <v>Муддати тугаган</v>
      </c>
      <c r="O299" s="19">
        <f t="shared" ca="1" si="333"/>
        <v>17772200</v>
      </c>
      <c r="P299" s="19" t="str">
        <f t="shared" ca="1" si="334"/>
        <v/>
      </c>
      <c r="Q299" s="19" t="str">
        <f t="shared" ca="1" si="335"/>
        <v/>
      </c>
      <c r="R299" s="19">
        <f t="shared" ca="1" si="336"/>
        <v>17772200</v>
      </c>
      <c r="S299" s="20"/>
    </row>
    <row r="300" spans="2:19" x14ac:dyDescent="0.2">
      <c r="B300" s="13" t="s">
        <v>587</v>
      </c>
      <c r="C300" s="40">
        <v>303461595</v>
      </c>
      <c r="D300" s="14">
        <v>933303373</v>
      </c>
      <c r="E300" s="14"/>
      <c r="F300" s="15" t="s">
        <v>63</v>
      </c>
      <c r="G300" s="15"/>
      <c r="H300" s="15" t="s">
        <v>520</v>
      </c>
      <c r="I300" s="15"/>
      <c r="J300" s="16" t="s">
        <v>591</v>
      </c>
      <c r="K300" s="16">
        <f t="shared" si="331"/>
        <v>45017</v>
      </c>
      <c r="L300" s="17">
        <v>24654140</v>
      </c>
      <c r="M300" s="45">
        <f t="shared" ca="1" si="332"/>
        <v>85</v>
      </c>
      <c r="N300" s="18" t="str">
        <f t="shared" ca="1" si="337"/>
        <v>Муддати тугаган</v>
      </c>
      <c r="O300" s="19">
        <f t="shared" ca="1" si="333"/>
        <v>24654140</v>
      </c>
      <c r="P300" s="19" t="str">
        <f t="shared" ca="1" si="334"/>
        <v/>
      </c>
      <c r="Q300" s="19">
        <f t="shared" ca="1" si="335"/>
        <v>24654140</v>
      </c>
      <c r="R300" s="19" t="str">
        <f t="shared" ca="1" si="336"/>
        <v xml:space="preserve"> </v>
      </c>
      <c r="S300" s="20"/>
    </row>
    <row r="301" spans="2:19" x14ac:dyDescent="0.2">
      <c r="B301" s="13" t="s">
        <v>587</v>
      </c>
      <c r="C301" s="40">
        <v>303461595</v>
      </c>
      <c r="D301" s="14">
        <v>933303373</v>
      </c>
      <c r="E301" s="14"/>
      <c r="F301" s="15" t="s">
        <v>63</v>
      </c>
      <c r="G301" s="15"/>
      <c r="H301" s="15" t="s">
        <v>520</v>
      </c>
      <c r="I301" s="15"/>
      <c r="J301" s="16" t="s">
        <v>592</v>
      </c>
      <c r="K301" s="16">
        <f t="shared" si="331"/>
        <v>45032</v>
      </c>
      <c r="L301" s="17">
        <v>19726200</v>
      </c>
      <c r="M301" s="45">
        <f t="shared" ca="1" si="332"/>
        <v>70</v>
      </c>
      <c r="N301" s="18" t="str">
        <f t="shared" ca="1" si="337"/>
        <v>Муддати тугаган</v>
      </c>
      <c r="O301" s="19">
        <f t="shared" ca="1" si="333"/>
        <v>19726200</v>
      </c>
      <c r="P301" s="19" t="str">
        <f t="shared" ca="1" si="334"/>
        <v/>
      </c>
      <c r="Q301" s="19">
        <f t="shared" ca="1" si="335"/>
        <v>19726200</v>
      </c>
      <c r="R301" s="19" t="str">
        <f t="shared" ca="1" si="336"/>
        <v xml:space="preserve"> </v>
      </c>
      <c r="S301" s="20"/>
    </row>
    <row r="302" spans="2:19" x14ac:dyDescent="0.2">
      <c r="B302" s="13" t="s">
        <v>587</v>
      </c>
      <c r="C302" s="40">
        <v>303461595</v>
      </c>
      <c r="D302" s="14">
        <v>933303373</v>
      </c>
      <c r="E302" s="14"/>
      <c r="F302" s="15" t="s">
        <v>63</v>
      </c>
      <c r="G302" s="15"/>
      <c r="H302" s="15" t="s">
        <v>520</v>
      </c>
      <c r="I302" s="15"/>
      <c r="J302" s="16" t="s">
        <v>593</v>
      </c>
      <c r="K302" s="16">
        <f t="shared" si="331"/>
        <v>45047</v>
      </c>
      <c r="L302" s="17">
        <v>17281000</v>
      </c>
      <c r="M302" s="45">
        <f t="shared" ca="1" si="332"/>
        <v>55</v>
      </c>
      <c r="N302" s="18" t="str">
        <f t="shared" ca="1" si="337"/>
        <v>Муддати тугаган</v>
      </c>
      <c r="O302" s="19">
        <f t="shared" ca="1" si="333"/>
        <v>17281000</v>
      </c>
      <c r="P302" s="19">
        <f t="shared" ca="1" si="334"/>
        <v>17281000</v>
      </c>
      <c r="Q302" s="19" t="str">
        <f t="shared" ca="1" si="335"/>
        <v/>
      </c>
      <c r="R302" s="19" t="str">
        <f t="shared" ca="1" si="336"/>
        <v xml:space="preserve"> </v>
      </c>
      <c r="S302" s="20"/>
    </row>
    <row r="303" spans="2:19" x14ac:dyDescent="0.2">
      <c r="B303" s="13" t="s">
        <v>389</v>
      </c>
      <c r="C303" s="40">
        <v>303345826</v>
      </c>
      <c r="D303" s="14">
        <v>902860002</v>
      </c>
      <c r="E303" s="14"/>
      <c r="F303" s="15" t="s">
        <v>64</v>
      </c>
      <c r="G303" s="15" t="s">
        <v>169</v>
      </c>
      <c r="H303" s="15" t="s">
        <v>520</v>
      </c>
      <c r="I303" s="15" t="s">
        <v>68</v>
      </c>
      <c r="J303" s="16">
        <v>44949</v>
      </c>
      <c r="K303" s="16">
        <f t="shared" ref="K303:K307" si="338">IF(J303&gt;0,J303+30," ")</f>
        <v>44979</v>
      </c>
      <c r="L303" s="17">
        <v>1120750</v>
      </c>
      <c r="M303" s="45">
        <f t="shared" ref="M303:M308" ca="1" si="339">IF(J303&gt;0,(+$B$1-J303),)</f>
        <v>123</v>
      </c>
      <c r="N303" s="18" t="str">
        <f t="shared" ca="1" si="337"/>
        <v>Муддати тугаган</v>
      </c>
      <c r="O303" s="19">
        <f t="shared" ref="O303:O308" ca="1" si="340">IF(M303&gt;=30,L303, " ")</f>
        <v>1120750</v>
      </c>
      <c r="P303" s="19" t="str">
        <f t="shared" ref="P303:P308" ca="1" si="341">IF(M303&gt;60,"",(IF(M303&gt;30,O303, "")))</f>
        <v/>
      </c>
      <c r="Q303" s="19" t="str">
        <f t="shared" ref="Q303:Q308" ca="1" si="342">IF(M303&gt;90,"",(IF(M303&gt;60,O303, "")))</f>
        <v/>
      </c>
      <c r="R303" s="19">
        <f t="shared" ref="R303:R308" ca="1" si="343">IF(M303&gt;90,L303, " ")</f>
        <v>1120750</v>
      </c>
      <c r="S303" s="20"/>
    </row>
    <row r="304" spans="2:19" x14ac:dyDescent="0.2">
      <c r="B304" s="13" t="s">
        <v>390</v>
      </c>
      <c r="C304" s="40">
        <v>301727399</v>
      </c>
      <c r="D304" s="14"/>
      <c r="E304" s="14"/>
      <c r="F304" s="15" t="s">
        <v>64</v>
      </c>
      <c r="G304" s="15" t="s">
        <v>169</v>
      </c>
      <c r="H304" s="15" t="s">
        <v>520</v>
      </c>
      <c r="I304" s="15" t="s">
        <v>68</v>
      </c>
      <c r="J304" s="16">
        <v>44950</v>
      </c>
      <c r="K304" s="16">
        <f t="shared" si="338"/>
        <v>44980</v>
      </c>
      <c r="L304" s="17">
        <v>1974790</v>
      </c>
      <c r="M304" s="45">
        <f t="shared" ca="1" si="339"/>
        <v>122</v>
      </c>
      <c r="N304" s="18" t="str">
        <f t="shared" ca="1" si="337"/>
        <v>Муддати тугаган</v>
      </c>
      <c r="O304" s="19">
        <f t="shared" ca="1" si="340"/>
        <v>1974790</v>
      </c>
      <c r="P304" s="19" t="str">
        <f t="shared" ca="1" si="341"/>
        <v/>
      </c>
      <c r="Q304" s="19" t="str">
        <f t="shared" ca="1" si="342"/>
        <v/>
      </c>
      <c r="R304" s="19">
        <f t="shared" ca="1" si="343"/>
        <v>1974790</v>
      </c>
      <c r="S304" s="20"/>
    </row>
    <row r="305" spans="2:19" x14ac:dyDescent="0.2">
      <c r="B305" s="13" t="s">
        <v>342</v>
      </c>
      <c r="C305" s="40">
        <v>307176155</v>
      </c>
      <c r="D305" s="14">
        <v>999415238</v>
      </c>
      <c r="E305" s="14"/>
      <c r="F305" s="15" t="s">
        <v>50</v>
      </c>
      <c r="G305" s="15" t="s">
        <v>50</v>
      </c>
      <c r="H305" s="15" t="s">
        <v>520</v>
      </c>
      <c r="I305" s="15" t="s">
        <v>51</v>
      </c>
      <c r="J305" s="16">
        <v>45041</v>
      </c>
      <c r="K305" s="16">
        <f t="shared" si="338"/>
        <v>45071</v>
      </c>
      <c r="L305" s="17">
        <v>608800</v>
      </c>
      <c r="M305" s="45">
        <f t="shared" ca="1" si="339"/>
        <v>31</v>
      </c>
      <c r="N305" s="18" t="str">
        <f t="shared" ca="1" si="337"/>
        <v>Муддати тугаган</v>
      </c>
      <c r="O305" s="19">
        <f t="shared" ca="1" si="340"/>
        <v>608800</v>
      </c>
      <c r="P305" s="19">
        <f t="shared" ca="1" si="341"/>
        <v>608800</v>
      </c>
      <c r="Q305" s="19" t="str">
        <f t="shared" ca="1" si="342"/>
        <v/>
      </c>
      <c r="R305" s="19" t="str">
        <f t="shared" ca="1" si="343"/>
        <v xml:space="preserve"> </v>
      </c>
      <c r="S305" s="20"/>
    </row>
    <row r="306" spans="2:19" x14ac:dyDescent="0.2">
      <c r="B306" s="13" t="s">
        <v>394</v>
      </c>
      <c r="C306" s="40">
        <v>307004376</v>
      </c>
      <c r="D306" s="39">
        <v>936809400</v>
      </c>
      <c r="E306" s="14"/>
      <c r="F306" s="15" t="s">
        <v>64</v>
      </c>
      <c r="G306" s="15" t="s">
        <v>191</v>
      </c>
      <c r="H306" s="15" t="s">
        <v>520</v>
      </c>
      <c r="I306" s="15" t="s">
        <v>68</v>
      </c>
      <c r="J306" s="16">
        <v>44848</v>
      </c>
      <c r="K306" s="16">
        <f t="shared" si="338"/>
        <v>44878</v>
      </c>
      <c r="L306" s="17">
        <v>11069150</v>
      </c>
      <c r="M306" s="45">
        <f t="shared" ca="1" si="339"/>
        <v>224</v>
      </c>
      <c r="N306" s="18" t="str">
        <f t="shared" ref="N306:N313" ca="1" si="344">IF(M306=0," ",IF(M306&gt;=30,"Муддати тугаган"," "))</f>
        <v>Муддати тугаган</v>
      </c>
      <c r="O306" s="19">
        <f t="shared" ca="1" si="340"/>
        <v>11069150</v>
      </c>
      <c r="P306" s="19" t="str">
        <f t="shared" ca="1" si="341"/>
        <v/>
      </c>
      <c r="Q306" s="19" t="str">
        <f t="shared" ca="1" si="342"/>
        <v/>
      </c>
      <c r="R306" s="19">
        <f t="shared" ca="1" si="343"/>
        <v>11069150</v>
      </c>
      <c r="S306" s="20"/>
    </row>
    <row r="307" spans="2:19" x14ac:dyDescent="0.2">
      <c r="B307" s="13" t="s">
        <v>395</v>
      </c>
      <c r="C307" s="40">
        <v>309246010</v>
      </c>
      <c r="D307" s="14">
        <v>972146267</v>
      </c>
      <c r="E307" s="14"/>
      <c r="F307" s="15" t="s">
        <v>24</v>
      </c>
      <c r="G307" s="15" t="s">
        <v>103</v>
      </c>
      <c r="H307" s="15" t="s">
        <v>520</v>
      </c>
      <c r="I307" s="15" t="s">
        <v>26</v>
      </c>
      <c r="J307" s="16">
        <v>44908</v>
      </c>
      <c r="K307" s="16">
        <f t="shared" si="338"/>
        <v>44938</v>
      </c>
      <c r="L307" s="17">
        <v>1884150</v>
      </c>
      <c r="M307" s="45">
        <f t="shared" ca="1" si="339"/>
        <v>164</v>
      </c>
      <c r="N307" s="18" t="str">
        <f t="shared" ca="1" si="344"/>
        <v>Муддати тугаган</v>
      </c>
      <c r="O307" s="19">
        <f t="shared" ca="1" si="340"/>
        <v>1884150</v>
      </c>
      <c r="P307" s="19" t="str">
        <f t="shared" ca="1" si="341"/>
        <v/>
      </c>
      <c r="Q307" s="19" t="str">
        <f t="shared" ca="1" si="342"/>
        <v/>
      </c>
      <c r="R307" s="19">
        <f t="shared" ca="1" si="343"/>
        <v>1884150</v>
      </c>
      <c r="S307" s="20"/>
    </row>
    <row r="308" spans="2:19" x14ac:dyDescent="0.2">
      <c r="B308" s="13" t="s">
        <v>396</v>
      </c>
      <c r="C308" s="40">
        <v>309474076</v>
      </c>
      <c r="D308" s="14">
        <v>999887683</v>
      </c>
      <c r="E308" s="14"/>
      <c r="F308" s="15" t="s">
        <v>75</v>
      </c>
      <c r="G308" s="15" t="s">
        <v>144</v>
      </c>
      <c r="H308" s="15" t="s">
        <v>520</v>
      </c>
      <c r="I308" s="15" t="s">
        <v>76</v>
      </c>
      <c r="J308" s="16">
        <v>44956</v>
      </c>
      <c r="K308" s="16">
        <f t="shared" ref="K308:K314" si="345">IF(J308&gt;0,J308+30," ")</f>
        <v>44986</v>
      </c>
      <c r="L308" s="17">
        <v>1953600</v>
      </c>
      <c r="M308" s="45">
        <f t="shared" ca="1" si="339"/>
        <v>116</v>
      </c>
      <c r="N308" s="18" t="str">
        <f t="shared" ca="1" si="344"/>
        <v>Муддати тугаган</v>
      </c>
      <c r="O308" s="19">
        <f t="shared" ca="1" si="340"/>
        <v>1953600</v>
      </c>
      <c r="P308" s="19" t="str">
        <f t="shared" ca="1" si="341"/>
        <v/>
      </c>
      <c r="Q308" s="19" t="str">
        <f t="shared" ca="1" si="342"/>
        <v/>
      </c>
      <c r="R308" s="19">
        <f t="shared" ca="1" si="343"/>
        <v>1953600</v>
      </c>
      <c r="S308" s="20"/>
    </row>
    <row r="309" spans="2:19" x14ac:dyDescent="0.2">
      <c r="B309" s="13" t="s">
        <v>575</v>
      </c>
      <c r="C309" s="40">
        <v>308627620</v>
      </c>
      <c r="D309" s="14">
        <v>990583535</v>
      </c>
      <c r="E309" s="14"/>
      <c r="F309" s="15" t="s">
        <v>45</v>
      </c>
      <c r="G309" s="15" t="s">
        <v>104</v>
      </c>
      <c r="H309" s="15" t="s">
        <v>520</v>
      </c>
      <c r="I309" s="15" t="s">
        <v>445</v>
      </c>
      <c r="J309" s="16">
        <v>45009</v>
      </c>
      <c r="K309" s="16">
        <f t="shared" si="345"/>
        <v>45039</v>
      </c>
      <c r="L309" s="17">
        <v>2801580</v>
      </c>
      <c r="M309" s="45">
        <f t="shared" ref="M309:M315" ca="1" si="346">IF(J309&gt;0,(+$B$1-J309),)</f>
        <v>63</v>
      </c>
      <c r="N309" s="18" t="str">
        <f t="shared" ca="1" si="344"/>
        <v>Муддати тугаган</v>
      </c>
      <c r="O309" s="19">
        <f t="shared" ref="O309:O315" ca="1" si="347">IF(M309&gt;=30,L309, " ")</f>
        <v>2801580</v>
      </c>
      <c r="P309" s="19" t="str">
        <f t="shared" ref="P309:P315" ca="1" si="348">IF(M309&gt;60,"",(IF(M309&gt;30,O309, "")))</f>
        <v/>
      </c>
      <c r="Q309" s="19">
        <f t="shared" ref="Q309:Q315" ca="1" si="349">IF(M309&gt;90,"",(IF(M309&gt;60,O309, "")))</f>
        <v>2801580</v>
      </c>
      <c r="R309" s="19" t="str">
        <f t="shared" ref="R309:R315" ca="1" si="350">IF(M309&gt;90,L309, " ")</f>
        <v xml:space="preserve"> </v>
      </c>
      <c r="S309" s="20"/>
    </row>
    <row r="310" spans="2:19" x14ac:dyDescent="0.2">
      <c r="B310" s="13" t="s">
        <v>612</v>
      </c>
      <c r="C310" s="40">
        <v>307808467</v>
      </c>
      <c r="D310" s="14">
        <v>973168030</v>
      </c>
      <c r="E310" s="14"/>
      <c r="F310" s="15" t="s">
        <v>45</v>
      </c>
      <c r="G310" s="15" t="s">
        <v>104</v>
      </c>
      <c r="H310" s="15" t="s">
        <v>520</v>
      </c>
      <c r="I310" s="15" t="s">
        <v>167</v>
      </c>
      <c r="J310" s="16">
        <v>45035</v>
      </c>
      <c r="K310" s="16">
        <f t="shared" si="345"/>
        <v>45065</v>
      </c>
      <c r="L310" s="17">
        <v>1604000</v>
      </c>
      <c r="M310" s="45">
        <f t="shared" ca="1" si="346"/>
        <v>37</v>
      </c>
      <c r="N310" s="18" t="str">
        <f t="shared" ca="1" si="344"/>
        <v>Муддати тугаган</v>
      </c>
      <c r="O310" s="19">
        <f t="shared" ca="1" si="347"/>
        <v>1604000</v>
      </c>
      <c r="P310" s="19">
        <f t="shared" ca="1" si="348"/>
        <v>1604000</v>
      </c>
      <c r="Q310" s="19" t="str">
        <f t="shared" ca="1" si="349"/>
        <v/>
      </c>
      <c r="R310" s="19" t="str">
        <f t="shared" ca="1" si="350"/>
        <v xml:space="preserve"> </v>
      </c>
      <c r="S310" s="20"/>
    </row>
    <row r="311" spans="2:19" x14ac:dyDescent="0.2">
      <c r="B311" s="13" t="s">
        <v>515</v>
      </c>
      <c r="C311" s="40">
        <v>306689554</v>
      </c>
      <c r="D311" s="14">
        <v>907127227</v>
      </c>
      <c r="E311" s="14"/>
      <c r="F311" s="15" t="s">
        <v>522</v>
      </c>
      <c r="G311" s="15" t="s">
        <v>36</v>
      </c>
      <c r="H311" s="15" t="s">
        <v>508</v>
      </c>
      <c r="I311" s="15" t="s">
        <v>516</v>
      </c>
      <c r="J311" s="16">
        <v>44876</v>
      </c>
      <c r="K311" s="16">
        <f t="shared" si="345"/>
        <v>44906</v>
      </c>
      <c r="L311" s="17">
        <v>5000000</v>
      </c>
      <c r="M311" s="45">
        <f t="shared" ca="1" si="346"/>
        <v>196</v>
      </c>
      <c r="N311" s="18" t="str">
        <f t="shared" ca="1" si="344"/>
        <v>Муддати тугаган</v>
      </c>
      <c r="O311" s="19">
        <f t="shared" ca="1" si="347"/>
        <v>5000000</v>
      </c>
      <c r="P311" s="19" t="str">
        <f t="shared" ca="1" si="348"/>
        <v/>
      </c>
      <c r="Q311" s="19" t="str">
        <f t="shared" ca="1" si="349"/>
        <v/>
      </c>
      <c r="R311" s="19">
        <f t="shared" ca="1" si="350"/>
        <v>5000000</v>
      </c>
      <c r="S311" s="20"/>
    </row>
    <row r="312" spans="2:19" x14ac:dyDescent="0.2">
      <c r="B312" s="13" t="s">
        <v>540</v>
      </c>
      <c r="C312" s="40">
        <v>306228081</v>
      </c>
      <c r="D312" s="14">
        <v>958259291</v>
      </c>
      <c r="E312" s="14"/>
      <c r="F312" s="15" t="s">
        <v>13</v>
      </c>
      <c r="G312" s="15" t="s">
        <v>214</v>
      </c>
      <c r="H312" s="15" t="s">
        <v>520</v>
      </c>
      <c r="I312" s="15" t="s">
        <v>215</v>
      </c>
      <c r="J312" s="16">
        <v>44959</v>
      </c>
      <c r="K312" s="16">
        <f t="shared" si="345"/>
        <v>44989</v>
      </c>
      <c r="L312" s="17">
        <v>800</v>
      </c>
      <c r="M312" s="45">
        <f t="shared" ca="1" si="346"/>
        <v>113</v>
      </c>
      <c r="N312" s="18" t="str">
        <f t="shared" ca="1" si="344"/>
        <v>Муддати тугаган</v>
      </c>
      <c r="O312" s="19">
        <f t="shared" ca="1" si="347"/>
        <v>800</v>
      </c>
      <c r="P312" s="19" t="str">
        <f t="shared" ca="1" si="348"/>
        <v/>
      </c>
      <c r="Q312" s="19" t="str">
        <f t="shared" ca="1" si="349"/>
        <v/>
      </c>
      <c r="R312" s="19">
        <f t="shared" ca="1" si="350"/>
        <v>800</v>
      </c>
      <c r="S312" s="20"/>
    </row>
    <row r="313" spans="2:19" x14ac:dyDescent="0.2">
      <c r="B313" s="13" t="s">
        <v>584</v>
      </c>
      <c r="C313" s="40">
        <v>305965955</v>
      </c>
      <c r="D313" s="14">
        <v>901609709</v>
      </c>
      <c r="E313" s="14"/>
      <c r="F313" s="15" t="s">
        <v>24</v>
      </c>
      <c r="G313" s="15" t="s">
        <v>103</v>
      </c>
      <c r="H313" s="15" t="s">
        <v>520</v>
      </c>
      <c r="I313" s="15" t="s">
        <v>245</v>
      </c>
      <c r="J313" s="16">
        <v>45016</v>
      </c>
      <c r="K313" s="16">
        <f t="shared" si="345"/>
        <v>45046</v>
      </c>
      <c r="L313" s="17">
        <v>591600</v>
      </c>
      <c r="M313" s="45">
        <f t="shared" ca="1" si="346"/>
        <v>56</v>
      </c>
      <c r="N313" s="18" t="str">
        <f t="shared" ca="1" si="344"/>
        <v>Муддати тугаган</v>
      </c>
      <c r="O313" s="19">
        <f t="shared" ca="1" si="347"/>
        <v>591600</v>
      </c>
      <c r="P313" s="19">
        <f t="shared" ca="1" si="348"/>
        <v>591600</v>
      </c>
      <c r="Q313" s="19" t="str">
        <f t="shared" ca="1" si="349"/>
        <v/>
      </c>
      <c r="R313" s="19" t="str">
        <f t="shared" ca="1" si="350"/>
        <v xml:space="preserve"> </v>
      </c>
      <c r="S313" s="20"/>
    </row>
    <row r="314" spans="2:19" x14ac:dyDescent="0.2">
      <c r="B314" s="13" t="s">
        <v>519</v>
      </c>
      <c r="C314" s="40">
        <v>302969746</v>
      </c>
      <c r="D314" s="30">
        <v>913880506</v>
      </c>
      <c r="E314" s="14"/>
      <c r="F314" s="15" t="s">
        <v>523</v>
      </c>
      <c r="G314" s="15" t="s">
        <v>106</v>
      </c>
      <c r="H314" s="15" t="s">
        <v>508</v>
      </c>
      <c r="I314" s="15" t="s">
        <v>518</v>
      </c>
      <c r="J314" s="16">
        <v>44896</v>
      </c>
      <c r="K314" s="16">
        <f t="shared" si="345"/>
        <v>44926</v>
      </c>
      <c r="L314" s="17">
        <v>4927000</v>
      </c>
      <c r="M314" s="45">
        <f t="shared" ca="1" si="346"/>
        <v>176</v>
      </c>
      <c r="N314" s="18" t="str">
        <f t="shared" ref="N314:N320" ca="1" si="351">IF(M314=0," ",IF(M314&gt;=30,"Муддати тугаган"," "))</f>
        <v>Муддати тугаган</v>
      </c>
      <c r="O314" s="19">
        <f t="shared" ca="1" si="347"/>
        <v>4927000</v>
      </c>
      <c r="P314" s="19" t="str">
        <f t="shared" ca="1" si="348"/>
        <v/>
      </c>
      <c r="Q314" s="19" t="str">
        <f t="shared" ca="1" si="349"/>
        <v/>
      </c>
      <c r="R314" s="19">
        <f t="shared" ca="1" si="350"/>
        <v>4927000</v>
      </c>
      <c r="S314" s="20"/>
    </row>
    <row r="315" spans="2:19" x14ac:dyDescent="0.2">
      <c r="B315" s="13" t="s">
        <v>397</v>
      </c>
      <c r="C315" s="40">
        <v>302870855</v>
      </c>
      <c r="D315" s="14">
        <v>919050189</v>
      </c>
      <c r="E315" s="14"/>
      <c r="F315" s="15" t="s">
        <v>21</v>
      </c>
      <c r="G315" s="15" t="s">
        <v>317</v>
      </c>
      <c r="H315" s="15" t="s">
        <v>520</v>
      </c>
      <c r="I315" s="15" t="s">
        <v>74</v>
      </c>
      <c r="J315" s="16">
        <v>44688</v>
      </c>
      <c r="K315" s="16">
        <f t="shared" ref="K315:K321" si="352">IF(J315&gt;0,J315+30," ")</f>
        <v>44718</v>
      </c>
      <c r="L315" s="22">
        <v>180000</v>
      </c>
      <c r="M315" s="45">
        <f t="shared" ca="1" si="346"/>
        <v>384</v>
      </c>
      <c r="N315" s="18" t="str">
        <f t="shared" ca="1" si="351"/>
        <v>Муддати тугаган</v>
      </c>
      <c r="O315" s="19">
        <f t="shared" ca="1" si="347"/>
        <v>180000</v>
      </c>
      <c r="P315" s="19" t="str">
        <f t="shared" ca="1" si="348"/>
        <v/>
      </c>
      <c r="Q315" s="19" t="str">
        <f t="shared" ca="1" si="349"/>
        <v/>
      </c>
      <c r="R315" s="19">
        <f t="shared" ca="1" si="350"/>
        <v>180000</v>
      </c>
      <c r="S315" s="20"/>
    </row>
    <row r="316" spans="2:19" x14ac:dyDescent="0.2">
      <c r="B316" s="13" t="s">
        <v>398</v>
      </c>
      <c r="C316" s="40">
        <v>305179643</v>
      </c>
      <c r="D316" s="14">
        <v>998110126</v>
      </c>
      <c r="E316" s="14"/>
      <c r="F316" s="15" t="s">
        <v>64</v>
      </c>
      <c r="G316" s="15" t="s">
        <v>251</v>
      </c>
      <c r="H316" s="15" t="s">
        <v>520</v>
      </c>
      <c r="I316" s="15" t="s">
        <v>67</v>
      </c>
      <c r="J316" s="16">
        <v>44950</v>
      </c>
      <c r="K316" s="16">
        <f t="shared" si="352"/>
        <v>44980</v>
      </c>
      <c r="L316" s="17">
        <v>1555250</v>
      </c>
      <c r="M316" s="45">
        <f t="shared" ref="M316:M321" ca="1" si="353">IF(J316&gt;0,(+$B$1-J316),)</f>
        <v>122</v>
      </c>
      <c r="N316" s="18" t="str">
        <f t="shared" ca="1" si="351"/>
        <v>Муддати тугаган</v>
      </c>
      <c r="O316" s="19">
        <f t="shared" ref="O316:O321" ca="1" si="354">IF(M316&gt;=30,L316, " ")</f>
        <v>1555250</v>
      </c>
      <c r="P316" s="19" t="str">
        <f t="shared" ref="P316:P321" ca="1" si="355">IF(M316&gt;60,"",(IF(M316&gt;30,O316, "")))</f>
        <v/>
      </c>
      <c r="Q316" s="19" t="str">
        <f t="shared" ref="Q316:Q321" ca="1" si="356">IF(M316&gt;90,"",(IF(M316&gt;60,O316, "")))</f>
        <v/>
      </c>
      <c r="R316" s="19">
        <f t="shared" ref="R316:R321" ca="1" si="357">IF(M316&gt;90,L316, " ")</f>
        <v>1555250</v>
      </c>
      <c r="S316" s="20"/>
    </row>
    <row r="317" spans="2:19" x14ac:dyDescent="0.2">
      <c r="B317" s="13" t="s">
        <v>400</v>
      </c>
      <c r="C317" s="40">
        <v>308220124</v>
      </c>
      <c r="D317" s="14">
        <v>998442090</v>
      </c>
      <c r="E317" s="14"/>
      <c r="F317" s="15" t="s">
        <v>75</v>
      </c>
      <c r="G317" s="15" t="s">
        <v>257</v>
      </c>
      <c r="H317" s="15" t="s">
        <v>520</v>
      </c>
      <c r="I317" s="15" t="s">
        <v>77</v>
      </c>
      <c r="J317" s="16">
        <v>44894</v>
      </c>
      <c r="K317" s="16">
        <f t="shared" si="352"/>
        <v>44924</v>
      </c>
      <c r="L317" s="17">
        <v>1806800</v>
      </c>
      <c r="M317" s="45">
        <f t="shared" ca="1" si="353"/>
        <v>178</v>
      </c>
      <c r="N317" s="18" t="str">
        <f t="shared" ca="1" si="351"/>
        <v>Муддати тугаган</v>
      </c>
      <c r="O317" s="19">
        <f t="shared" ca="1" si="354"/>
        <v>1806800</v>
      </c>
      <c r="P317" s="19" t="str">
        <f t="shared" ca="1" si="355"/>
        <v/>
      </c>
      <c r="Q317" s="19" t="str">
        <f t="shared" ca="1" si="356"/>
        <v/>
      </c>
      <c r="R317" s="19">
        <f t="shared" ca="1" si="357"/>
        <v>1806800</v>
      </c>
      <c r="S317" s="20"/>
    </row>
    <row r="318" spans="2:19" x14ac:dyDescent="0.2">
      <c r="B318" s="13" t="s">
        <v>598</v>
      </c>
      <c r="C318" s="40">
        <v>305167254</v>
      </c>
      <c r="D318" s="14">
        <v>979997283</v>
      </c>
      <c r="E318" s="14"/>
      <c r="F318" s="15" t="s">
        <v>30</v>
      </c>
      <c r="G318" s="15" t="s">
        <v>162</v>
      </c>
      <c r="H318" s="15" t="s">
        <v>520</v>
      </c>
      <c r="I318" s="15" t="s">
        <v>34</v>
      </c>
      <c r="J318" s="16">
        <v>44991</v>
      </c>
      <c r="K318" s="16">
        <f t="shared" si="352"/>
        <v>45021</v>
      </c>
      <c r="L318" s="17">
        <v>5026750</v>
      </c>
      <c r="M318" s="45">
        <f t="shared" ca="1" si="353"/>
        <v>81</v>
      </c>
      <c r="N318" s="18" t="str">
        <f t="shared" ca="1" si="351"/>
        <v>Муддати тугаган</v>
      </c>
      <c r="O318" s="19">
        <f t="shared" ca="1" si="354"/>
        <v>5026750</v>
      </c>
      <c r="P318" s="19" t="str">
        <f t="shared" ca="1" si="355"/>
        <v/>
      </c>
      <c r="Q318" s="19">
        <f t="shared" ca="1" si="356"/>
        <v>5026750</v>
      </c>
      <c r="R318" s="19" t="str">
        <f t="shared" ca="1" si="357"/>
        <v xml:space="preserve"> </v>
      </c>
      <c r="S318" s="20"/>
    </row>
    <row r="319" spans="2:19" x14ac:dyDescent="0.2">
      <c r="B319" s="24" t="s">
        <v>401</v>
      </c>
      <c r="C319" s="43">
        <v>306645102</v>
      </c>
      <c r="D319" s="25"/>
      <c r="E319" s="14"/>
      <c r="F319" s="26" t="s">
        <v>13</v>
      </c>
      <c r="G319" s="26" t="s">
        <v>14</v>
      </c>
      <c r="H319" s="26" t="s">
        <v>520</v>
      </c>
      <c r="I319" s="26" t="s">
        <v>88</v>
      </c>
      <c r="J319" s="27">
        <v>44228</v>
      </c>
      <c r="K319" s="27">
        <f t="shared" si="352"/>
        <v>44258</v>
      </c>
      <c r="L319" s="37">
        <v>300000</v>
      </c>
      <c r="M319" s="46">
        <f t="shared" ca="1" si="353"/>
        <v>844</v>
      </c>
      <c r="N319" s="57" t="str">
        <f t="shared" ca="1" si="351"/>
        <v>Муддати тугаган</v>
      </c>
      <c r="O319" s="29">
        <f t="shared" ca="1" si="354"/>
        <v>300000</v>
      </c>
      <c r="P319" s="29" t="str">
        <f t="shared" ca="1" si="355"/>
        <v/>
      </c>
      <c r="Q319" s="29" t="str">
        <f t="shared" ca="1" si="356"/>
        <v/>
      </c>
      <c r="R319" s="29">
        <f t="shared" ca="1" si="357"/>
        <v>300000</v>
      </c>
      <c r="S319" s="20"/>
    </row>
    <row r="320" spans="2:19" x14ac:dyDescent="0.2">
      <c r="B320" s="13" t="s">
        <v>609</v>
      </c>
      <c r="C320" s="40">
        <v>310230871</v>
      </c>
      <c r="D320" s="14">
        <v>993110854</v>
      </c>
      <c r="E320" s="14"/>
      <c r="F320" s="15" t="s">
        <v>15</v>
      </c>
      <c r="G320" s="15" t="s">
        <v>190</v>
      </c>
      <c r="H320" s="15" t="s">
        <v>520</v>
      </c>
      <c r="I320" s="15" t="s">
        <v>41</v>
      </c>
      <c r="J320" s="16">
        <v>45035</v>
      </c>
      <c r="K320" s="16">
        <f t="shared" si="352"/>
        <v>45065</v>
      </c>
      <c r="L320" s="17">
        <v>1215000</v>
      </c>
      <c r="M320" s="45">
        <f t="shared" ca="1" si="353"/>
        <v>37</v>
      </c>
      <c r="N320" s="18" t="str">
        <f t="shared" ca="1" si="351"/>
        <v>Муддати тугаган</v>
      </c>
      <c r="O320" s="19">
        <f t="shared" ca="1" si="354"/>
        <v>1215000</v>
      </c>
      <c r="P320" s="19">
        <f t="shared" ca="1" si="355"/>
        <v>1215000</v>
      </c>
      <c r="Q320" s="19" t="str">
        <f t="shared" ca="1" si="356"/>
        <v/>
      </c>
      <c r="R320" s="19" t="str">
        <f t="shared" ca="1" si="357"/>
        <v xml:space="preserve"> </v>
      </c>
      <c r="S320" s="20"/>
    </row>
    <row r="321" spans="2:19" x14ac:dyDescent="0.2">
      <c r="B321" s="13" t="s">
        <v>402</v>
      </c>
      <c r="C321" s="40">
        <v>300613842</v>
      </c>
      <c r="D321" s="14"/>
      <c r="E321" s="14"/>
      <c r="F321" s="15" t="s">
        <v>45</v>
      </c>
      <c r="G321" s="15" t="s">
        <v>181</v>
      </c>
      <c r="H321" s="15" t="s">
        <v>520</v>
      </c>
      <c r="I321" s="15" t="s">
        <v>116</v>
      </c>
      <c r="J321" s="16">
        <v>45042</v>
      </c>
      <c r="K321" s="16">
        <f t="shared" si="352"/>
        <v>45072</v>
      </c>
      <c r="L321" s="17">
        <v>4150000</v>
      </c>
      <c r="M321" s="45">
        <f t="shared" ca="1" si="353"/>
        <v>30</v>
      </c>
      <c r="N321" s="18" t="str">
        <f t="shared" ref="N321:N323" ca="1" si="358">IF(M321=0," ",IF(M321&gt;=30,"Муддати тугаган"," "))</f>
        <v>Муддати тугаган</v>
      </c>
      <c r="O321" s="19">
        <f t="shared" ca="1" si="354"/>
        <v>4150000</v>
      </c>
      <c r="P321" s="19" t="str">
        <f t="shared" ca="1" si="355"/>
        <v/>
      </c>
      <c r="Q321" s="19" t="str">
        <f t="shared" ca="1" si="356"/>
        <v/>
      </c>
      <c r="R321" s="19" t="str">
        <f t="shared" ca="1" si="357"/>
        <v xml:space="preserve"> </v>
      </c>
      <c r="S321" s="20"/>
    </row>
    <row r="322" spans="2:19" x14ac:dyDescent="0.2">
      <c r="B322" s="13" t="s">
        <v>403</v>
      </c>
      <c r="C322" s="40">
        <v>309552485</v>
      </c>
      <c r="D322" s="14"/>
      <c r="E322" s="14"/>
      <c r="F322" s="15" t="s">
        <v>64</v>
      </c>
      <c r="G322" s="15" t="s">
        <v>169</v>
      </c>
      <c r="H322" s="15" t="s">
        <v>520</v>
      </c>
      <c r="I322" s="15" t="s">
        <v>68</v>
      </c>
      <c r="J322" s="16">
        <v>44881</v>
      </c>
      <c r="K322" s="16">
        <f t="shared" ref="K322:K325" si="359">IF(J322&gt;0,J322+30," ")</f>
        <v>44911</v>
      </c>
      <c r="L322" s="17">
        <v>88150</v>
      </c>
      <c r="M322" s="45">
        <f t="shared" ref="M322:M325" ca="1" si="360">IF(J322&gt;0,(+$B$1-J322),)</f>
        <v>191</v>
      </c>
      <c r="N322" s="18" t="str">
        <f t="shared" ca="1" si="358"/>
        <v>Муддати тугаган</v>
      </c>
      <c r="O322" s="19">
        <f t="shared" ref="O322:O325" ca="1" si="361">IF(M322&gt;=30,L322, " ")</f>
        <v>88150</v>
      </c>
      <c r="P322" s="19" t="str">
        <f t="shared" ref="P322:P325" ca="1" si="362">IF(M322&gt;60,"",(IF(M322&gt;30,O322, "")))</f>
        <v/>
      </c>
      <c r="Q322" s="19" t="str">
        <f t="shared" ref="Q322:Q325" ca="1" si="363">IF(M322&gt;90,"",(IF(M322&gt;60,O322, "")))</f>
        <v/>
      </c>
      <c r="R322" s="19">
        <f t="shared" ref="R322:R325" ca="1" si="364">IF(M322&gt;90,L322, " ")</f>
        <v>88150</v>
      </c>
      <c r="S322" s="20"/>
    </row>
    <row r="323" spans="2:19" x14ac:dyDescent="0.2">
      <c r="B323" s="24" t="s">
        <v>404</v>
      </c>
      <c r="C323" s="43">
        <v>205427154</v>
      </c>
      <c r="D323" s="25"/>
      <c r="E323" s="14"/>
      <c r="F323" s="26" t="s">
        <v>64</v>
      </c>
      <c r="G323" s="26" t="s">
        <v>405</v>
      </c>
      <c r="H323" s="26" t="s">
        <v>520</v>
      </c>
      <c r="I323" s="26" t="s">
        <v>65</v>
      </c>
      <c r="J323" s="27">
        <v>44495</v>
      </c>
      <c r="K323" s="27">
        <f t="shared" si="359"/>
        <v>44525</v>
      </c>
      <c r="L323" s="37">
        <v>999300</v>
      </c>
      <c r="M323" s="46">
        <f t="shared" ca="1" si="360"/>
        <v>577</v>
      </c>
      <c r="N323" s="57" t="str">
        <f t="shared" ca="1" si="358"/>
        <v>Муддати тугаган</v>
      </c>
      <c r="O323" s="29">
        <f t="shared" ca="1" si="361"/>
        <v>999300</v>
      </c>
      <c r="P323" s="29" t="str">
        <f t="shared" ca="1" si="362"/>
        <v/>
      </c>
      <c r="Q323" s="29" t="str">
        <f t="shared" ca="1" si="363"/>
        <v/>
      </c>
      <c r="R323" s="29">
        <f t="shared" ca="1" si="364"/>
        <v>999300</v>
      </c>
      <c r="S323" s="20"/>
    </row>
    <row r="324" spans="2:19" x14ac:dyDescent="0.2">
      <c r="B324" s="13" t="s">
        <v>407</v>
      </c>
      <c r="C324" s="40">
        <v>204754754</v>
      </c>
      <c r="D324" s="14">
        <v>999764545</v>
      </c>
      <c r="E324" s="14"/>
      <c r="F324" s="15" t="s">
        <v>55</v>
      </c>
      <c r="G324" s="15" t="s">
        <v>55</v>
      </c>
      <c r="H324" s="15" t="s">
        <v>520</v>
      </c>
      <c r="I324" s="15" t="s">
        <v>59</v>
      </c>
      <c r="J324" s="16">
        <v>45013</v>
      </c>
      <c r="K324" s="16">
        <f t="shared" si="359"/>
        <v>45043</v>
      </c>
      <c r="L324" s="17">
        <v>3000440</v>
      </c>
      <c r="M324" s="45">
        <f t="shared" ca="1" si="360"/>
        <v>59</v>
      </c>
      <c r="N324" s="18" t="str">
        <f t="shared" ref="N324:N330" ca="1" si="365">IF(M324=0," ",IF(M324&gt;=30,"Муддати тугаган"," "))</f>
        <v>Муддати тугаган</v>
      </c>
      <c r="O324" s="19">
        <f t="shared" ca="1" si="361"/>
        <v>3000440</v>
      </c>
      <c r="P324" s="19">
        <f t="shared" ca="1" si="362"/>
        <v>3000440</v>
      </c>
      <c r="Q324" s="19" t="str">
        <f t="shared" ca="1" si="363"/>
        <v/>
      </c>
      <c r="R324" s="19" t="str">
        <f t="shared" ca="1" si="364"/>
        <v xml:space="preserve"> </v>
      </c>
      <c r="S324" s="20"/>
    </row>
    <row r="325" spans="2:19" x14ac:dyDescent="0.2">
      <c r="B325" s="13" t="s">
        <v>407</v>
      </c>
      <c r="C325" s="40">
        <v>204754754</v>
      </c>
      <c r="D325" s="14">
        <v>999764545</v>
      </c>
      <c r="E325" s="14"/>
      <c r="F325" s="15" t="s">
        <v>55</v>
      </c>
      <c r="G325" s="15" t="s">
        <v>55</v>
      </c>
      <c r="H325" s="15" t="s">
        <v>520</v>
      </c>
      <c r="I325" s="15" t="s">
        <v>59</v>
      </c>
      <c r="J325" s="16">
        <v>45042</v>
      </c>
      <c r="K325" s="16">
        <f t="shared" si="359"/>
        <v>45072</v>
      </c>
      <c r="L325" s="17">
        <v>3486000</v>
      </c>
      <c r="M325" s="45">
        <f t="shared" ca="1" si="360"/>
        <v>30</v>
      </c>
      <c r="N325" s="18" t="str">
        <f t="shared" ca="1" si="365"/>
        <v>Муддати тугаган</v>
      </c>
      <c r="O325" s="19">
        <f t="shared" ca="1" si="361"/>
        <v>3486000</v>
      </c>
      <c r="P325" s="19" t="str">
        <f t="shared" ca="1" si="362"/>
        <v/>
      </c>
      <c r="Q325" s="19" t="str">
        <f t="shared" ca="1" si="363"/>
        <v/>
      </c>
      <c r="R325" s="19" t="str">
        <f t="shared" ca="1" si="364"/>
        <v xml:space="preserve"> </v>
      </c>
      <c r="S325" s="20"/>
    </row>
    <row r="326" spans="2:19" x14ac:dyDescent="0.2">
      <c r="B326" s="13" t="s">
        <v>408</v>
      </c>
      <c r="C326" s="40">
        <v>206782600</v>
      </c>
      <c r="D326" s="14">
        <v>939281909</v>
      </c>
      <c r="E326" s="14"/>
      <c r="F326" s="15" t="s">
        <v>17</v>
      </c>
      <c r="G326" s="15" t="s">
        <v>107</v>
      </c>
      <c r="H326" s="15" t="s">
        <v>520</v>
      </c>
      <c r="I326" s="15" t="s">
        <v>187</v>
      </c>
      <c r="J326" s="16">
        <v>44973</v>
      </c>
      <c r="K326" s="16">
        <f t="shared" ref="K326:K330" si="366">IF(J326&gt;0,J326+30," ")</f>
        <v>45003</v>
      </c>
      <c r="L326" s="17">
        <v>1077100</v>
      </c>
      <c r="M326" s="45">
        <f t="shared" ref="M326:M331" ca="1" si="367">IF(J326&gt;0,(+$B$1-J326),)</f>
        <v>99</v>
      </c>
      <c r="N326" s="18" t="str">
        <f t="shared" ca="1" si="365"/>
        <v>Муддати тугаган</v>
      </c>
      <c r="O326" s="19">
        <f t="shared" ref="O326:O331" ca="1" si="368">IF(M326&gt;=30,L326, " ")</f>
        <v>1077100</v>
      </c>
      <c r="P326" s="19" t="str">
        <f t="shared" ref="P326:P331" ca="1" si="369">IF(M326&gt;60,"",(IF(M326&gt;30,O326, "")))</f>
        <v/>
      </c>
      <c r="Q326" s="19" t="str">
        <f t="shared" ref="Q326:Q331" ca="1" si="370">IF(M326&gt;90,"",(IF(M326&gt;60,O326, "")))</f>
        <v/>
      </c>
      <c r="R326" s="19">
        <f t="shared" ref="R326:R331" ca="1" si="371">IF(M326&gt;90,L326, " ")</f>
        <v>1077100</v>
      </c>
      <c r="S326" s="20"/>
    </row>
    <row r="327" spans="2:19" x14ac:dyDescent="0.2">
      <c r="B327" s="13" t="s">
        <v>569</v>
      </c>
      <c r="C327" s="40">
        <v>995409067</v>
      </c>
      <c r="D327" s="14"/>
      <c r="E327" s="14"/>
      <c r="F327" s="15" t="s">
        <v>64</v>
      </c>
      <c r="G327" s="15" t="s">
        <v>64</v>
      </c>
      <c r="H327" s="15" t="s">
        <v>520</v>
      </c>
      <c r="I327" s="15" t="s">
        <v>69</v>
      </c>
      <c r="J327" s="16">
        <v>44999</v>
      </c>
      <c r="K327" s="16">
        <f t="shared" si="366"/>
        <v>45029</v>
      </c>
      <c r="L327" s="17">
        <v>552500</v>
      </c>
      <c r="M327" s="45">
        <f t="shared" ca="1" si="367"/>
        <v>73</v>
      </c>
      <c r="N327" s="18" t="str">
        <f t="shared" ca="1" si="365"/>
        <v>Муддати тугаган</v>
      </c>
      <c r="O327" s="19">
        <f t="shared" ca="1" si="368"/>
        <v>552500</v>
      </c>
      <c r="P327" s="19" t="str">
        <f t="shared" ca="1" si="369"/>
        <v/>
      </c>
      <c r="Q327" s="19">
        <f t="shared" ca="1" si="370"/>
        <v>552500</v>
      </c>
      <c r="R327" s="19" t="str">
        <f t="shared" ca="1" si="371"/>
        <v xml:space="preserve"> </v>
      </c>
      <c r="S327" s="20"/>
    </row>
    <row r="328" spans="2:19" x14ac:dyDescent="0.2">
      <c r="B328" s="13" t="s">
        <v>409</v>
      </c>
      <c r="C328" s="40">
        <v>306956633</v>
      </c>
      <c r="D328" s="14">
        <v>991338785</v>
      </c>
      <c r="E328" s="14"/>
      <c r="F328" s="15" t="s">
        <v>21</v>
      </c>
      <c r="G328" s="15" t="s">
        <v>121</v>
      </c>
      <c r="H328" s="15" t="s">
        <v>520</v>
      </c>
      <c r="I328" s="15" t="s">
        <v>70</v>
      </c>
      <c r="J328" s="16">
        <v>44946</v>
      </c>
      <c r="K328" s="16">
        <f t="shared" si="366"/>
        <v>44976</v>
      </c>
      <c r="L328" s="17">
        <v>3252000</v>
      </c>
      <c r="M328" s="45">
        <f t="shared" ca="1" si="367"/>
        <v>126</v>
      </c>
      <c r="N328" s="18" t="str">
        <f t="shared" ca="1" si="365"/>
        <v>Муддати тугаган</v>
      </c>
      <c r="O328" s="19">
        <f t="shared" ca="1" si="368"/>
        <v>3252000</v>
      </c>
      <c r="P328" s="19" t="str">
        <f t="shared" ca="1" si="369"/>
        <v/>
      </c>
      <c r="Q328" s="19" t="str">
        <f t="shared" ca="1" si="370"/>
        <v/>
      </c>
      <c r="R328" s="19">
        <f t="shared" ca="1" si="371"/>
        <v>3252000</v>
      </c>
      <c r="S328" s="20"/>
    </row>
    <row r="329" spans="2:19" x14ac:dyDescent="0.2">
      <c r="B329" s="13" t="s">
        <v>604</v>
      </c>
      <c r="C329" s="40">
        <v>308077333</v>
      </c>
      <c r="D329" s="14">
        <v>974028993</v>
      </c>
      <c r="E329" s="14"/>
      <c r="F329" s="15" t="s">
        <v>13</v>
      </c>
      <c r="G329" s="15" t="s">
        <v>151</v>
      </c>
      <c r="H329" s="15" t="s">
        <v>520</v>
      </c>
      <c r="I329" s="15" t="s">
        <v>617</v>
      </c>
      <c r="J329" s="16">
        <v>45033</v>
      </c>
      <c r="K329" s="16">
        <f t="shared" si="366"/>
        <v>45063</v>
      </c>
      <c r="L329" s="17">
        <v>16827000</v>
      </c>
      <c r="M329" s="45">
        <f t="shared" ca="1" si="367"/>
        <v>39</v>
      </c>
      <c r="N329" s="18" t="str">
        <f t="shared" ca="1" si="365"/>
        <v>Муддати тугаган</v>
      </c>
      <c r="O329" s="19">
        <f t="shared" ca="1" si="368"/>
        <v>16827000</v>
      </c>
      <c r="P329" s="19">
        <f t="shared" ca="1" si="369"/>
        <v>16827000</v>
      </c>
      <c r="Q329" s="19" t="str">
        <f t="shared" ca="1" si="370"/>
        <v/>
      </c>
      <c r="R329" s="19" t="str">
        <f t="shared" ca="1" si="371"/>
        <v xml:space="preserve"> </v>
      </c>
      <c r="S329" s="20"/>
    </row>
    <row r="330" spans="2:19" x14ac:dyDescent="0.2">
      <c r="B330" s="13" t="s">
        <v>410</v>
      </c>
      <c r="C330" s="40">
        <v>306338239</v>
      </c>
      <c r="D330" s="14">
        <v>902662997</v>
      </c>
      <c r="E330" s="14"/>
      <c r="F330" s="15" t="s">
        <v>21</v>
      </c>
      <c r="G330" s="15" t="s">
        <v>225</v>
      </c>
      <c r="H330" s="15" t="s">
        <v>520</v>
      </c>
      <c r="I330" s="15" t="s">
        <v>23</v>
      </c>
      <c r="J330" s="16">
        <v>44924</v>
      </c>
      <c r="K330" s="16">
        <f t="shared" si="366"/>
        <v>44954</v>
      </c>
      <c r="L330" s="17">
        <v>1159000</v>
      </c>
      <c r="M330" s="45">
        <f t="shared" ca="1" si="367"/>
        <v>148</v>
      </c>
      <c r="N330" s="18" t="str">
        <f t="shared" ca="1" si="365"/>
        <v>Муддати тугаган</v>
      </c>
      <c r="O330" s="19">
        <f t="shared" ca="1" si="368"/>
        <v>1159000</v>
      </c>
      <c r="P330" s="19" t="str">
        <f t="shared" ca="1" si="369"/>
        <v/>
      </c>
      <c r="Q330" s="19" t="str">
        <f t="shared" ca="1" si="370"/>
        <v/>
      </c>
      <c r="R330" s="19">
        <f t="shared" ca="1" si="371"/>
        <v>1159000</v>
      </c>
      <c r="S330" s="20"/>
    </row>
    <row r="331" spans="2:19" x14ac:dyDescent="0.2">
      <c r="B331" s="13" t="s">
        <v>548</v>
      </c>
      <c r="C331" s="40">
        <v>310084151</v>
      </c>
      <c r="D331" s="14"/>
      <c r="E331" s="14"/>
      <c r="F331" s="15" t="s">
        <v>15</v>
      </c>
      <c r="G331" s="15" t="s">
        <v>111</v>
      </c>
      <c r="H331" s="15" t="s">
        <v>520</v>
      </c>
      <c r="I331" s="15" t="s">
        <v>16</v>
      </c>
      <c r="J331" s="16">
        <v>44971</v>
      </c>
      <c r="K331" s="16">
        <f t="shared" ref="K331:K338" si="372">IF(J331&gt;0,J331+30," ")</f>
        <v>45001</v>
      </c>
      <c r="L331" s="17">
        <v>759920</v>
      </c>
      <c r="M331" s="45">
        <f t="shared" ca="1" si="367"/>
        <v>101</v>
      </c>
      <c r="N331" s="18" t="str">
        <f t="shared" ref="N331:N335" ca="1" si="373">IF(M331=0," ",IF(M331&gt;=30,"Муддати тугаган"," "))</f>
        <v>Муддати тугаган</v>
      </c>
      <c r="O331" s="19">
        <f t="shared" ca="1" si="368"/>
        <v>759920</v>
      </c>
      <c r="P331" s="19" t="str">
        <f t="shared" ca="1" si="369"/>
        <v/>
      </c>
      <c r="Q331" s="19" t="str">
        <f t="shared" ca="1" si="370"/>
        <v/>
      </c>
      <c r="R331" s="19">
        <f t="shared" ca="1" si="371"/>
        <v>759920</v>
      </c>
      <c r="S331" s="20"/>
    </row>
    <row r="332" spans="2:19" x14ac:dyDescent="0.2">
      <c r="B332" s="13" t="s">
        <v>411</v>
      </c>
      <c r="C332" s="40">
        <v>301879510</v>
      </c>
      <c r="D332" s="14">
        <v>990650009</v>
      </c>
      <c r="E332" s="14"/>
      <c r="F332" s="15" t="s">
        <v>17</v>
      </c>
      <c r="G332" s="15" t="s">
        <v>18</v>
      </c>
      <c r="H332" s="15" t="s">
        <v>520</v>
      </c>
      <c r="I332" s="15" t="s">
        <v>399</v>
      </c>
      <c r="J332" s="16">
        <v>45023</v>
      </c>
      <c r="K332" s="16">
        <f t="shared" si="372"/>
        <v>45053</v>
      </c>
      <c r="L332" s="17">
        <v>323760</v>
      </c>
      <c r="M332" s="45">
        <f t="shared" ref="M332:M339" ca="1" si="374">IF(J332&gt;0,(+$B$1-J332),)</f>
        <v>49</v>
      </c>
      <c r="N332" s="18" t="str">
        <f t="shared" ca="1" si="373"/>
        <v>Муддати тугаган</v>
      </c>
      <c r="O332" s="19">
        <f t="shared" ref="O332:O339" ca="1" si="375">IF(M332&gt;=30,L332, " ")</f>
        <v>323760</v>
      </c>
      <c r="P332" s="19">
        <f t="shared" ref="P332:P339" ca="1" si="376">IF(M332&gt;60,"",(IF(M332&gt;30,O332, "")))</f>
        <v>323760</v>
      </c>
      <c r="Q332" s="19" t="str">
        <f t="shared" ref="Q332:Q339" ca="1" si="377">IF(M332&gt;90,"",(IF(M332&gt;60,O332, "")))</f>
        <v/>
      </c>
      <c r="R332" s="19" t="str">
        <f t="shared" ref="R332:R339" ca="1" si="378">IF(M332&gt;90,L332, " ")</f>
        <v xml:space="preserve"> </v>
      </c>
      <c r="S332" s="20"/>
    </row>
    <row r="333" spans="2:19" x14ac:dyDescent="0.2">
      <c r="B333" s="13" t="s">
        <v>412</v>
      </c>
      <c r="C333" s="40">
        <v>301087373</v>
      </c>
      <c r="D333" s="14"/>
      <c r="E333" s="14"/>
      <c r="F333" s="15" t="s">
        <v>30</v>
      </c>
      <c r="G333" s="15" t="s">
        <v>30</v>
      </c>
      <c r="H333" s="15" t="s">
        <v>520</v>
      </c>
      <c r="I333" s="15" t="s">
        <v>413</v>
      </c>
      <c r="J333" s="16">
        <v>44944</v>
      </c>
      <c r="K333" s="16">
        <f t="shared" si="372"/>
        <v>44974</v>
      </c>
      <c r="L333" s="17">
        <v>311500</v>
      </c>
      <c r="M333" s="45">
        <f t="shared" ca="1" si="374"/>
        <v>128</v>
      </c>
      <c r="N333" s="18" t="str">
        <f t="shared" ca="1" si="373"/>
        <v>Муддати тугаган</v>
      </c>
      <c r="O333" s="19">
        <f t="shared" ca="1" si="375"/>
        <v>311500</v>
      </c>
      <c r="P333" s="19" t="str">
        <f t="shared" ca="1" si="376"/>
        <v/>
      </c>
      <c r="Q333" s="19" t="str">
        <f t="shared" ca="1" si="377"/>
        <v/>
      </c>
      <c r="R333" s="19">
        <f t="shared" ca="1" si="378"/>
        <v>311500</v>
      </c>
      <c r="S333" s="20"/>
    </row>
    <row r="334" spans="2:19" x14ac:dyDescent="0.2">
      <c r="B334" s="13" t="s">
        <v>414</v>
      </c>
      <c r="C334" s="40">
        <v>308682562</v>
      </c>
      <c r="D334" s="14">
        <v>901079092</v>
      </c>
      <c r="E334" s="14"/>
      <c r="F334" s="15" t="s">
        <v>75</v>
      </c>
      <c r="G334" s="15" t="s">
        <v>144</v>
      </c>
      <c r="H334" s="15" t="s">
        <v>520</v>
      </c>
      <c r="I334" s="15" t="s">
        <v>76</v>
      </c>
      <c r="J334" s="16">
        <v>44611</v>
      </c>
      <c r="K334" s="16">
        <f t="shared" si="372"/>
        <v>44641</v>
      </c>
      <c r="L334" s="17">
        <v>500000</v>
      </c>
      <c r="M334" s="45">
        <f t="shared" ca="1" si="374"/>
        <v>461</v>
      </c>
      <c r="N334" s="18" t="str">
        <f t="shared" ca="1" si="373"/>
        <v>Муддати тугаган</v>
      </c>
      <c r="O334" s="19">
        <f t="shared" ca="1" si="375"/>
        <v>500000</v>
      </c>
      <c r="P334" s="19" t="str">
        <f t="shared" ca="1" si="376"/>
        <v/>
      </c>
      <c r="Q334" s="19" t="str">
        <f t="shared" ca="1" si="377"/>
        <v/>
      </c>
      <c r="R334" s="19">
        <f t="shared" ca="1" si="378"/>
        <v>500000</v>
      </c>
      <c r="S334" s="20"/>
    </row>
    <row r="335" spans="2:19" x14ac:dyDescent="0.2">
      <c r="B335" s="13" t="s">
        <v>415</v>
      </c>
      <c r="C335" s="40">
        <v>200208295</v>
      </c>
      <c r="D335" s="14">
        <v>977199111</v>
      </c>
      <c r="E335" s="14"/>
      <c r="F335" s="15" t="s">
        <v>17</v>
      </c>
      <c r="G335" s="15" t="s">
        <v>406</v>
      </c>
      <c r="H335" s="15" t="s">
        <v>520</v>
      </c>
      <c r="I335" s="15" t="s">
        <v>187</v>
      </c>
      <c r="J335" s="16">
        <v>44971</v>
      </c>
      <c r="K335" s="16">
        <f t="shared" si="372"/>
        <v>45001</v>
      </c>
      <c r="L335" s="21">
        <v>27000000</v>
      </c>
      <c r="M335" s="45">
        <f t="shared" ca="1" si="374"/>
        <v>101</v>
      </c>
      <c r="N335" s="18" t="str">
        <f t="shared" ca="1" si="373"/>
        <v>Муддати тугаган</v>
      </c>
      <c r="O335" s="19">
        <f t="shared" ca="1" si="375"/>
        <v>27000000</v>
      </c>
      <c r="P335" s="19" t="str">
        <f t="shared" ca="1" si="376"/>
        <v/>
      </c>
      <c r="Q335" s="19" t="str">
        <f t="shared" ca="1" si="377"/>
        <v/>
      </c>
      <c r="R335" s="19">
        <f t="shared" ca="1" si="378"/>
        <v>27000000</v>
      </c>
      <c r="S335" s="20"/>
    </row>
    <row r="336" spans="2:19" x14ac:dyDescent="0.2">
      <c r="B336" s="13" t="s">
        <v>417</v>
      </c>
      <c r="C336" s="40">
        <v>303818964</v>
      </c>
      <c r="D336" s="14"/>
      <c r="E336" s="14"/>
      <c r="F336" s="15" t="s">
        <v>45</v>
      </c>
      <c r="G336" s="15" t="s">
        <v>141</v>
      </c>
      <c r="H336" s="15" t="s">
        <v>520</v>
      </c>
      <c r="I336" s="15" t="s">
        <v>116</v>
      </c>
      <c r="J336" s="16">
        <v>44958</v>
      </c>
      <c r="K336" s="16">
        <f t="shared" si="372"/>
        <v>44988</v>
      </c>
      <c r="L336" s="17">
        <v>815450</v>
      </c>
      <c r="M336" s="45">
        <f t="shared" ca="1" si="374"/>
        <v>114</v>
      </c>
      <c r="N336" s="18" t="str">
        <f t="shared" ref="N336:N343" ca="1" si="379">IF(M336=0," ",IF(M336&gt;=30,"Муддати тугаган"," "))</f>
        <v>Муддати тугаган</v>
      </c>
      <c r="O336" s="19">
        <f t="shared" ca="1" si="375"/>
        <v>815450</v>
      </c>
      <c r="P336" s="19" t="str">
        <f t="shared" ca="1" si="376"/>
        <v/>
      </c>
      <c r="Q336" s="19" t="str">
        <f t="shared" ca="1" si="377"/>
        <v/>
      </c>
      <c r="R336" s="19">
        <f t="shared" ca="1" si="378"/>
        <v>815450</v>
      </c>
      <c r="S336" s="20"/>
    </row>
    <row r="337" spans="2:19" x14ac:dyDescent="0.2">
      <c r="B337" s="13" t="s">
        <v>418</v>
      </c>
      <c r="C337" s="40">
        <v>303031244</v>
      </c>
      <c r="D337" s="14"/>
      <c r="E337" s="14"/>
      <c r="F337" s="15" t="s">
        <v>21</v>
      </c>
      <c r="G337" s="15" t="s">
        <v>225</v>
      </c>
      <c r="H337" s="15" t="s">
        <v>520</v>
      </c>
      <c r="I337" s="15" t="s">
        <v>23</v>
      </c>
      <c r="J337" s="16">
        <v>44970</v>
      </c>
      <c r="K337" s="16">
        <f t="shared" si="372"/>
        <v>45000</v>
      </c>
      <c r="L337" s="17">
        <v>2349000</v>
      </c>
      <c r="M337" s="45">
        <f t="shared" ca="1" si="374"/>
        <v>102</v>
      </c>
      <c r="N337" s="18" t="str">
        <f t="shared" ca="1" si="379"/>
        <v>Муддати тугаган</v>
      </c>
      <c r="O337" s="19">
        <f t="shared" ca="1" si="375"/>
        <v>2349000</v>
      </c>
      <c r="P337" s="19" t="str">
        <f t="shared" ca="1" si="376"/>
        <v/>
      </c>
      <c r="Q337" s="19" t="str">
        <f t="shared" ca="1" si="377"/>
        <v/>
      </c>
      <c r="R337" s="19">
        <f t="shared" ca="1" si="378"/>
        <v>2349000</v>
      </c>
      <c r="S337" s="20"/>
    </row>
    <row r="338" spans="2:19" x14ac:dyDescent="0.2">
      <c r="B338" s="24" t="s">
        <v>419</v>
      </c>
      <c r="C338" s="43">
        <v>300367570</v>
      </c>
      <c r="D338" s="25">
        <v>914630016</v>
      </c>
      <c r="E338" s="14"/>
      <c r="F338" s="26" t="s">
        <v>45</v>
      </c>
      <c r="G338" s="26" t="s">
        <v>196</v>
      </c>
      <c r="H338" s="26" t="s">
        <v>520</v>
      </c>
      <c r="I338" s="26" t="s">
        <v>49</v>
      </c>
      <c r="J338" s="27">
        <v>44487</v>
      </c>
      <c r="K338" s="27">
        <f t="shared" si="372"/>
        <v>44517</v>
      </c>
      <c r="L338" s="37">
        <v>1893600</v>
      </c>
      <c r="M338" s="46">
        <f t="shared" ca="1" si="374"/>
        <v>585</v>
      </c>
      <c r="N338" s="57" t="str">
        <f t="shared" ca="1" si="379"/>
        <v>Муддати тугаган</v>
      </c>
      <c r="O338" s="29">
        <f t="shared" ca="1" si="375"/>
        <v>1893600</v>
      </c>
      <c r="P338" s="29" t="str">
        <f t="shared" ca="1" si="376"/>
        <v/>
      </c>
      <c r="Q338" s="29" t="str">
        <f t="shared" ca="1" si="377"/>
        <v/>
      </c>
      <c r="R338" s="29">
        <f t="shared" ca="1" si="378"/>
        <v>1893600</v>
      </c>
      <c r="S338" s="20"/>
    </row>
    <row r="339" spans="2:19" x14ac:dyDescent="0.2">
      <c r="B339" s="13" t="s">
        <v>420</v>
      </c>
      <c r="C339" s="40">
        <v>202605513</v>
      </c>
      <c r="D339" s="14">
        <v>905848283</v>
      </c>
      <c r="E339" s="14"/>
      <c r="F339" s="15" t="s">
        <v>24</v>
      </c>
      <c r="G339" s="15" t="s">
        <v>174</v>
      </c>
      <c r="H339" s="15" t="s">
        <v>520</v>
      </c>
      <c r="I339" s="15" t="s">
        <v>152</v>
      </c>
      <c r="J339" s="16">
        <v>45033</v>
      </c>
      <c r="K339" s="16">
        <f t="shared" ref="K339:K343" si="380">IF(J339&gt;0,J339+30," ")</f>
        <v>45063</v>
      </c>
      <c r="L339" s="17">
        <v>2185000</v>
      </c>
      <c r="M339" s="45">
        <f t="shared" ca="1" si="374"/>
        <v>39</v>
      </c>
      <c r="N339" s="18" t="str">
        <f t="shared" ca="1" si="379"/>
        <v>Муддати тугаган</v>
      </c>
      <c r="O339" s="19">
        <f t="shared" ca="1" si="375"/>
        <v>2185000</v>
      </c>
      <c r="P339" s="19">
        <f t="shared" ca="1" si="376"/>
        <v>2185000</v>
      </c>
      <c r="Q339" s="19" t="str">
        <f t="shared" ca="1" si="377"/>
        <v/>
      </c>
      <c r="R339" s="19" t="str">
        <f t="shared" ca="1" si="378"/>
        <v xml:space="preserve"> </v>
      </c>
      <c r="S339" s="20"/>
    </row>
    <row r="340" spans="2:19" x14ac:dyDescent="0.2">
      <c r="B340" s="24" t="s">
        <v>421</v>
      </c>
      <c r="C340" s="43">
        <v>302216844</v>
      </c>
      <c r="D340" s="25">
        <v>985735357</v>
      </c>
      <c r="E340" s="14"/>
      <c r="F340" s="26" t="s">
        <v>64</v>
      </c>
      <c r="G340" s="26" t="s">
        <v>64</v>
      </c>
      <c r="H340" s="26" t="s">
        <v>520</v>
      </c>
      <c r="I340" s="26" t="s">
        <v>66</v>
      </c>
      <c r="J340" s="27">
        <v>44490</v>
      </c>
      <c r="K340" s="27">
        <f t="shared" si="380"/>
        <v>44520</v>
      </c>
      <c r="L340" s="37">
        <v>25000</v>
      </c>
      <c r="M340" s="46">
        <f t="shared" ref="M340:M343" ca="1" si="381">IF(J340&gt;0,(+$B$1-J340),)</f>
        <v>582</v>
      </c>
      <c r="N340" s="57" t="str">
        <f t="shared" ca="1" si="379"/>
        <v>Муддати тугаган</v>
      </c>
      <c r="O340" s="29">
        <f t="shared" ref="O340:O343" ca="1" si="382">IF(M340&gt;=30,L340, " ")</f>
        <v>25000</v>
      </c>
      <c r="P340" s="29" t="str">
        <f t="shared" ref="P340:P343" ca="1" si="383">IF(M340&gt;60,"",(IF(M340&gt;30,O340, "")))</f>
        <v/>
      </c>
      <c r="Q340" s="29" t="str">
        <f t="shared" ref="Q340:Q343" ca="1" si="384">IF(M340&gt;90,"",(IF(M340&gt;60,O340, "")))</f>
        <v/>
      </c>
      <c r="R340" s="29">
        <f t="shared" ref="R340:R343" ca="1" si="385">IF(M340&gt;90,L340, " ")</f>
        <v>25000</v>
      </c>
      <c r="S340" s="20"/>
    </row>
    <row r="341" spans="2:19" x14ac:dyDescent="0.2">
      <c r="B341" s="13" t="s">
        <v>422</v>
      </c>
      <c r="C341" s="40">
        <v>303167604</v>
      </c>
      <c r="D341" s="14">
        <v>981019400</v>
      </c>
      <c r="E341" s="14"/>
      <c r="F341" s="15" t="s">
        <v>30</v>
      </c>
      <c r="G341" s="15" t="s">
        <v>162</v>
      </c>
      <c r="H341" s="15" t="s">
        <v>508</v>
      </c>
      <c r="I341" s="15" t="s">
        <v>511</v>
      </c>
      <c r="J341" s="16">
        <v>45030</v>
      </c>
      <c r="K341" s="16">
        <f t="shared" si="380"/>
        <v>45060</v>
      </c>
      <c r="L341" s="21">
        <v>4471500</v>
      </c>
      <c r="M341" s="45">
        <f t="shared" ca="1" si="381"/>
        <v>42</v>
      </c>
      <c r="N341" s="18" t="str">
        <f t="shared" ca="1" si="379"/>
        <v>Муддати тугаган</v>
      </c>
      <c r="O341" s="19">
        <f t="shared" ca="1" si="382"/>
        <v>4471500</v>
      </c>
      <c r="P341" s="19">
        <f t="shared" ca="1" si="383"/>
        <v>4471500</v>
      </c>
      <c r="Q341" s="19" t="str">
        <f t="shared" ca="1" si="384"/>
        <v/>
      </c>
      <c r="R341" s="19" t="str">
        <f t="shared" ca="1" si="385"/>
        <v xml:space="preserve"> </v>
      </c>
      <c r="S341" s="20"/>
    </row>
    <row r="342" spans="2:19" x14ac:dyDescent="0.2">
      <c r="B342" s="24" t="s">
        <v>423</v>
      </c>
      <c r="C342" s="43">
        <v>305130261</v>
      </c>
      <c r="D342" s="25">
        <v>973157700</v>
      </c>
      <c r="E342" s="14"/>
      <c r="F342" s="26" t="s">
        <v>45</v>
      </c>
      <c r="G342" s="26" t="s">
        <v>115</v>
      </c>
      <c r="H342" s="26" t="s">
        <v>520</v>
      </c>
      <c r="I342" s="26" t="s">
        <v>116</v>
      </c>
      <c r="J342" s="27">
        <v>44475</v>
      </c>
      <c r="K342" s="27">
        <f t="shared" si="380"/>
        <v>44505</v>
      </c>
      <c r="L342" s="37">
        <v>14650000</v>
      </c>
      <c r="M342" s="46">
        <f t="shared" ca="1" si="381"/>
        <v>597</v>
      </c>
      <c r="N342" s="57" t="str">
        <f t="shared" ca="1" si="379"/>
        <v>Муддати тугаган</v>
      </c>
      <c r="O342" s="29">
        <f t="shared" ca="1" si="382"/>
        <v>14650000</v>
      </c>
      <c r="P342" s="29" t="str">
        <f t="shared" ca="1" si="383"/>
        <v/>
      </c>
      <c r="Q342" s="29" t="str">
        <f t="shared" ca="1" si="384"/>
        <v/>
      </c>
      <c r="R342" s="29">
        <f t="shared" ca="1" si="385"/>
        <v>14650000</v>
      </c>
      <c r="S342" s="20"/>
    </row>
    <row r="343" spans="2:19" x14ac:dyDescent="0.2">
      <c r="B343" s="13" t="s">
        <v>424</v>
      </c>
      <c r="C343" s="40">
        <v>306604381</v>
      </c>
      <c r="D343" s="14">
        <v>998499252</v>
      </c>
      <c r="E343" s="14"/>
      <c r="F343" s="15" t="s">
        <v>13</v>
      </c>
      <c r="G343" s="15" t="s">
        <v>214</v>
      </c>
      <c r="H343" s="15" t="s">
        <v>520</v>
      </c>
      <c r="I343" s="15" t="s">
        <v>215</v>
      </c>
      <c r="J343" s="16">
        <v>45028</v>
      </c>
      <c r="K343" s="16">
        <f t="shared" si="380"/>
        <v>45058</v>
      </c>
      <c r="L343" s="17">
        <v>720080</v>
      </c>
      <c r="M343" s="45">
        <f t="shared" ca="1" si="381"/>
        <v>44</v>
      </c>
      <c r="N343" s="18" t="str">
        <f t="shared" ca="1" si="379"/>
        <v>Муддати тугаган</v>
      </c>
      <c r="O343" s="19">
        <f t="shared" ca="1" si="382"/>
        <v>720080</v>
      </c>
      <c r="P343" s="19">
        <f t="shared" ca="1" si="383"/>
        <v>720080</v>
      </c>
      <c r="Q343" s="19" t="str">
        <f t="shared" ca="1" si="384"/>
        <v/>
      </c>
      <c r="R343" s="19" t="str">
        <f t="shared" ca="1" si="385"/>
        <v xml:space="preserve"> </v>
      </c>
      <c r="S343" s="20"/>
    </row>
    <row r="344" spans="2:19" x14ac:dyDescent="0.2">
      <c r="B344" s="13" t="s">
        <v>554</v>
      </c>
      <c r="C344" s="40">
        <v>310213963</v>
      </c>
      <c r="D344" s="14">
        <v>770640997</v>
      </c>
      <c r="E344" s="14"/>
      <c r="F344" s="15" t="s">
        <v>21</v>
      </c>
      <c r="G344" s="15" t="s">
        <v>121</v>
      </c>
      <c r="H344" s="15" t="s">
        <v>520</v>
      </c>
      <c r="I344" s="15" t="s">
        <v>416</v>
      </c>
      <c r="J344" s="16">
        <v>44979</v>
      </c>
      <c r="K344" s="16">
        <f t="shared" ref="K344:K346" si="386">IF(J344&gt;0,J344+30," ")</f>
        <v>45009</v>
      </c>
      <c r="L344" s="17">
        <v>4208000</v>
      </c>
      <c r="M344" s="45">
        <f t="shared" ref="M344:M349" ca="1" si="387">IF(J344&gt;0,(+$B$1-J344),)</f>
        <v>93</v>
      </c>
      <c r="N344" s="18" t="str">
        <f t="shared" ref="N344:N345" ca="1" si="388">IF(M344=0," ",IF(M344&gt;=30,"Муддати тугаган"," "))</f>
        <v>Муддати тугаган</v>
      </c>
      <c r="O344" s="19">
        <f t="shared" ref="O344:O349" ca="1" si="389">IF(M344&gt;=30,L344, " ")</f>
        <v>4208000</v>
      </c>
      <c r="P344" s="19" t="str">
        <f t="shared" ref="P344:P349" ca="1" si="390">IF(M344&gt;60,"",(IF(M344&gt;30,O344, "")))</f>
        <v/>
      </c>
      <c r="Q344" s="19" t="str">
        <f t="shared" ref="Q344:Q349" ca="1" si="391">IF(M344&gt;90,"",(IF(M344&gt;60,O344, "")))</f>
        <v/>
      </c>
      <c r="R344" s="19">
        <f t="shared" ref="R344:R349" ca="1" si="392">IF(M344&gt;90,L344, " ")</f>
        <v>4208000</v>
      </c>
      <c r="S344" s="20"/>
    </row>
    <row r="345" spans="2:19" x14ac:dyDescent="0.2">
      <c r="B345" s="13" t="s">
        <v>554</v>
      </c>
      <c r="C345" s="40">
        <v>310213963</v>
      </c>
      <c r="D345" s="14">
        <v>770640997</v>
      </c>
      <c r="E345" s="14"/>
      <c r="F345" s="15" t="s">
        <v>21</v>
      </c>
      <c r="G345" s="15" t="s">
        <v>121</v>
      </c>
      <c r="H345" s="15" t="s">
        <v>520</v>
      </c>
      <c r="I345" s="15" t="s">
        <v>416</v>
      </c>
      <c r="J345" s="16">
        <v>45002</v>
      </c>
      <c r="K345" s="16">
        <f t="shared" si="386"/>
        <v>45032</v>
      </c>
      <c r="L345" s="17">
        <v>5710000</v>
      </c>
      <c r="M345" s="45">
        <f t="shared" ca="1" si="387"/>
        <v>70</v>
      </c>
      <c r="N345" s="18" t="str">
        <f t="shared" ca="1" si="388"/>
        <v>Муддати тугаган</v>
      </c>
      <c r="O345" s="19">
        <f t="shared" ca="1" si="389"/>
        <v>5710000</v>
      </c>
      <c r="P345" s="19" t="str">
        <f t="shared" ca="1" si="390"/>
        <v/>
      </c>
      <c r="Q345" s="19">
        <f t="shared" ca="1" si="391"/>
        <v>5710000</v>
      </c>
      <c r="R345" s="19" t="str">
        <f t="shared" ca="1" si="392"/>
        <v xml:space="preserve"> </v>
      </c>
      <c r="S345" s="20"/>
    </row>
    <row r="346" spans="2:19" x14ac:dyDescent="0.2">
      <c r="B346" s="13" t="s">
        <v>425</v>
      </c>
      <c r="C346" s="40">
        <v>203697914</v>
      </c>
      <c r="D346" s="14">
        <v>902907070</v>
      </c>
      <c r="E346" s="14"/>
      <c r="F346" s="15" t="s">
        <v>24</v>
      </c>
      <c r="G346" s="15" t="s">
        <v>174</v>
      </c>
      <c r="H346" s="15" t="s">
        <v>520</v>
      </c>
      <c r="I346" s="15" t="s">
        <v>152</v>
      </c>
      <c r="J346" s="16">
        <v>44923</v>
      </c>
      <c r="K346" s="16">
        <f t="shared" si="386"/>
        <v>44953</v>
      </c>
      <c r="L346" s="17">
        <v>9458650</v>
      </c>
      <c r="M346" s="45">
        <f t="shared" ca="1" si="387"/>
        <v>149</v>
      </c>
      <c r="N346" s="18" t="str">
        <f t="shared" ref="N346:N357" ca="1" si="393">IF(M346=0," ",IF(M346&gt;=30,"Муддати тугаган"," "))</f>
        <v>Муддати тугаган</v>
      </c>
      <c r="O346" s="19">
        <f t="shared" ca="1" si="389"/>
        <v>9458650</v>
      </c>
      <c r="P346" s="19" t="str">
        <f t="shared" ca="1" si="390"/>
        <v/>
      </c>
      <c r="Q346" s="19" t="str">
        <f t="shared" ca="1" si="391"/>
        <v/>
      </c>
      <c r="R346" s="19">
        <f t="shared" ca="1" si="392"/>
        <v>9458650</v>
      </c>
      <c r="S346" s="20"/>
    </row>
    <row r="347" spans="2:19" x14ac:dyDescent="0.2">
      <c r="B347" s="13" t="s">
        <v>426</v>
      </c>
      <c r="C347" s="40">
        <v>303312756</v>
      </c>
      <c r="D347" s="14">
        <v>904276522</v>
      </c>
      <c r="E347" s="14"/>
      <c r="F347" s="15" t="s">
        <v>45</v>
      </c>
      <c r="G347" s="15" t="s">
        <v>115</v>
      </c>
      <c r="H347" s="15" t="s">
        <v>520</v>
      </c>
      <c r="I347" s="15" t="s">
        <v>116</v>
      </c>
      <c r="J347" s="16">
        <v>45036</v>
      </c>
      <c r="K347" s="16">
        <f t="shared" ref="K347:K357" si="394">IF(J347&gt;0,J347+30," ")</f>
        <v>45066</v>
      </c>
      <c r="L347" s="21">
        <v>2364550</v>
      </c>
      <c r="M347" s="45">
        <f t="shared" ca="1" si="387"/>
        <v>36</v>
      </c>
      <c r="N347" s="18" t="str">
        <f t="shared" ca="1" si="393"/>
        <v>Муддати тугаган</v>
      </c>
      <c r="O347" s="19">
        <f t="shared" ca="1" si="389"/>
        <v>2364550</v>
      </c>
      <c r="P347" s="19">
        <f t="shared" ca="1" si="390"/>
        <v>2364550</v>
      </c>
      <c r="Q347" s="19" t="str">
        <f t="shared" ca="1" si="391"/>
        <v/>
      </c>
      <c r="R347" s="19" t="str">
        <f t="shared" ca="1" si="392"/>
        <v xml:space="preserve"> </v>
      </c>
      <c r="S347" s="20"/>
    </row>
    <row r="348" spans="2:19" x14ac:dyDescent="0.2">
      <c r="B348" s="13" t="s">
        <v>427</v>
      </c>
      <c r="C348" s="40">
        <v>309589597</v>
      </c>
      <c r="D348" s="14">
        <v>900000377</v>
      </c>
      <c r="E348" s="14"/>
      <c r="F348" s="15" t="s">
        <v>64</v>
      </c>
      <c r="G348" s="15" t="s">
        <v>169</v>
      </c>
      <c r="H348" s="15" t="s">
        <v>520</v>
      </c>
      <c r="I348" s="15" t="s">
        <v>68</v>
      </c>
      <c r="J348" s="16">
        <v>44943</v>
      </c>
      <c r="K348" s="16">
        <f t="shared" si="394"/>
        <v>44973</v>
      </c>
      <c r="L348" s="17">
        <v>1828000</v>
      </c>
      <c r="M348" s="45">
        <f t="shared" ca="1" si="387"/>
        <v>129</v>
      </c>
      <c r="N348" s="18" t="str">
        <f t="shared" ca="1" si="393"/>
        <v>Муддати тугаган</v>
      </c>
      <c r="O348" s="19">
        <f t="shared" ca="1" si="389"/>
        <v>1828000</v>
      </c>
      <c r="P348" s="19" t="str">
        <f t="shared" ca="1" si="390"/>
        <v/>
      </c>
      <c r="Q348" s="19" t="str">
        <f t="shared" ca="1" si="391"/>
        <v/>
      </c>
      <c r="R348" s="19">
        <f t="shared" ca="1" si="392"/>
        <v>1828000</v>
      </c>
      <c r="S348" s="20"/>
    </row>
    <row r="349" spans="2:19" x14ac:dyDescent="0.2">
      <c r="B349" s="13" t="s">
        <v>428</v>
      </c>
      <c r="C349" s="40">
        <v>205225184</v>
      </c>
      <c r="D349" s="14">
        <v>993121976</v>
      </c>
      <c r="E349" s="14"/>
      <c r="F349" s="15" t="s">
        <v>64</v>
      </c>
      <c r="G349" s="15" t="s">
        <v>251</v>
      </c>
      <c r="H349" s="15" t="s">
        <v>520</v>
      </c>
      <c r="I349" s="15" t="s">
        <v>67</v>
      </c>
      <c r="J349" s="16">
        <v>44987</v>
      </c>
      <c r="K349" s="16">
        <f t="shared" si="394"/>
        <v>45017</v>
      </c>
      <c r="L349" s="21">
        <v>2140400</v>
      </c>
      <c r="M349" s="45">
        <f t="shared" ca="1" si="387"/>
        <v>85</v>
      </c>
      <c r="N349" s="18" t="str">
        <f t="shared" ca="1" si="393"/>
        <v>Муддати тугаган</v>
      </c>
      <c r="O349" s="19">
        <f t="shared" ca="1" si="389"/>
        <v>2140400</v>
      </c>
      <c r="P349" s="19" t="str">
        <f t="shared" ca="1" si="390"/>
        <v/>
      </c>
      <c r="Q349" s="19">
        <f t="shared" ca="1" si="391"/>
        <v>2140400</v>
      </c>
      <c r="R349" s="19" t="str">
        <f t="shared" ca="1" si="392"/>
        <v xml:space="preserve"> </v>
      </c>
      <c r="S349" s="20"/>
    </row>
    <row r="350" spans="2:19" x14ac:dyDescent="0.2">
      <c r="B350" s="13" t="s">
        <v>430</v>
      </c>
      <c r="C350" s="40">
        <v>302672096</v>
      </c>
      <c r="D350" s="14">
        <v>977751982</v>
      </c>
      <c r="E350" s="14"/>
      <c r="F350" s="15" t="s">
        <v>13</v>
      </c>
      <c r="G350" s="15" t="s">
        <v>133</v>
      </c>
      <c r="H350" s="15" t="s">
        <v>520</v>
      </c>
      <c r="I350" s="15" t="s">
        <v>134</v>
      </c>
      <c r="J350" s="16">
        <v>44831</v>
      </c>
      <c r="K350" s="16">
        <f t="shared" si="394"/>
        <v>44861</v>
      </c>
      <c r="L350" s="17">
        <v>2251500</v>
      </c>
      <c r="M350" s="45">
        <f t="shared" ref="M350:M358" ca="1" si="395">IF(J350&gt;0,(+$B$1-J350),)</f>
        <v>241</v>
      </c>
      <c r="N350" s="18" t="str">
        <f t="shared" ca="1" si="393"/>
        <v>Муддати тугаган</v>
      </c>
      <c r="O350" s="19">
        <f t="shared" ref="O350:O358" ca="1" si="396">IF(M350&gt;=30,L350, " ")</f>
        <v>2251500</v>
      </c>
      <c r="P350" s="19" t="str">
        <f t="shared" ref="P350:P358" ca="1" si="397">IF(M350&gt;60,"",(IF(M350&gt;30,O350, "")))</f>
        <v/>
      </c>
      <c r="Q350" s="19" t="str">
        <f t="shared" ref="Q350:Q358" ca="1" si="398">IF(M350&gt;90,"",(IF(M350&gt;60,O350, "")))</f>
        <v/>
      </c>
      <c r="R350" s="19">
        <f t="shared" ref="R350:R358" ca="1" si="399">IF(M350&gt;90,L350, " ")</f>
        <v>2251500</v>
      </c>
      <c r="S350" s="20"/>
    </row>
    <row r="351" spans="2:19" x14ac:dyDescent="0.2">
      <c r="B351" s="13" t="s">
        <v>430</v>
      </c>
      <c r="C351" s="40">
        <v>302672096</v>
      </c>
      <c r="D351" s="14">
        <v>977751982</v>
      </c>
      <c r="E351" s="14"/>
      <c r="F351" s="15" t="s">
        <v>13</v>
      </c>
      <c r="G351" s="15" t="s">
        <v>133</v>
      </c>
      <c r="H351" s="15" t="s">
        <v>520</v>
      </c>
      <c r="I351" s="15" t="s">
        <v>134</v>
      </c>
      <c r="J351" s="16">
        <v>44860</v>
      </c>
      <c r="K351" s="16">
        <f t="shared" si="394"/>
        <v>44890</v>
      </c>
      <c r="L351" s="17">
        <v>1080000</v>
      </c>
      <c r="M351" s="45">
        <f t="shared" ca="1" si="395"/>
        <v>212</v>
      </c>
      <c r="N351" s="18" t="str">
        <f t="shared" ca="1" si="393"/>
        <v>Муддати тугаган</v>
      </c>
      <c r="O351" s="19">
        <f t="shared" ca="1" si="396"/>
        <v>1080000</v>
      </c>
      <c r="P351" s="19" t="str">
        <f t="shared" ca="1" si="397"/>
        <v/>
      </c>
      <c r="Q351" s="19" t="str">
        <f t="shared" ca="1" si="398"/>
        <v/>
      </c>
      <c r="R351" s="19">
        <f t="shared" ca="1" si="399"/>
        <v>1080000</v>
      </c>
      <c r="S351" s="20"/>
    </row>
    <row r="352" spans="2:19" x14ac:dyDescent="0.2">
      <c r="B352" s="13" t="s">
        <v>431</v>
      </c>
      <c r="C352" s="40">
        <v>203087858</v>
      </c>
      <c r="D352" s="14">
        <v>901560501</v>
      </c>
      <c r="E352" s="14"/>
      <c r="F352" s="15" t="s">
        <v>55</v>
      </c>
      <c r="G352" s="15" t="s">
        <v>137</v>
      </c>
      <c r="H352" s="15" t="s">
        <v>520</v>
      </c>
      <c r="I352" s="15" t="s">
        <v>57</v>
      </c>
      <c r="J352" s="16">
        <v>44985</v>
      </c>
      <c r="K352" s="16">
        <f t="shared" si="394"/>
        <v>45015</v>
      </c>
      <c r="L352" s="17">
        <v>750</v>
      </c>
      <c r="M352" s="45">
        <f t="shared" ca="1" si="395"/>
        <v>87</v>
      </c>
      <c r="N352" s="18" t="str">
        <f t="shared" ca="1" si="393"/>
        <v>Муддати тугаган</v>
      </c>
      <c r="O352" s="19">
        <f t="shared" ca="1" si="396"/>
        <v>750</v>
      </c>
      <c r="P352" s="19" t="str">
        <f t="shared" ca="1" si="397"/>
        <v/>
      </c>
      <c r="Q352" s="19">
        <f t="shared" ca="1" si="398"/>
        <v>750</v>
      </c>
      <c r="R352" s="19" t="str">
        <f t="shared" ca="1" si="399"/>
        <v xml:space="preserve"> </v>
      </c>
      <c r="S352" s="20"/>
    </row>
    <row r="353" spans="2:19" x14ac:dyDescent="0.2">
      <c r="B353" s="24" t="s">
        <v>432</v>
      </c>
      <c r="C353" s="43">
        <v>306696561</v>
      </c>
      <c r="D353" s="25">
        <v>997006622</v>
      </c>
      <c r="E353" s="14"/>
      <c r="F353" s="26" t="s">
        <v>64</v>
      </c>
      <c r="G353" s="26" t="s">
        <v>191</v>
      </c>
      <c r="H353" s="26" t="s">
        <v>520</v>
      </c>
      <c r="I353" s="26" t="s">
        <v>68</v>
      </c>
      <c r="J353" s="27">
        <v>44382</v>
      </c>
      <c r="K353" s="27">
        <f t="shared" si="394"/>
        <v>44412</v>
      </c>
      <c r="L353" s="37">
        <v>6258000</v>
      </c>
      <c r="M353" s="46">
        <f t="shared" ca="1" si="395"/>
        <v>690</v>
      </c>
      <c r="N353" s="57" t="str">
        <f t="shared" ca="1" si="393"/>
        <v>Муддати тугаган</v>
      </c>
      <c r="O353" s="29">
        <f t="shared" ca="1" si="396"/>
        <v>6258000</v>
      </c>
      <c r="P353" s="29" t="str">
        <f t="shared" ca="1" si="397"/>
        <v/>
      </c>
      <c r="Q353" s="29" t="str">
        <f t="shared" ca="1" si="398"/>
        <v/>
      </c>
      <c r="R353" s="29">
        <f t="shared" ca="1" si="399"/>
        <v>6258000</v>
      </c>
      <c r="S353" s="20"/>
    </row>
    <row r="354" spans="2:19" x14ac:dyDescent="0.2">
      <c r="B354" s="13" t="s">
        <v>496</v>
      </c>
      <c r="C354" s="40">
        <v>300584183</v>
      </c>
      <c r="D354" s="14">
        <v>916008680</v>
      </c>
      <c r="E354" s="14"/>
      <c r="F354" s="15" t="s">
        <v>30</v>
      </c>
      <c r="G354" s="15" t="s">
        <v>497</v>
      </c>
      <c r="H354" s="15" t="s">
        <v>520</v>
      </c>
      <c r="I354" s="15" t="s">
        <v>491</v>
      </c>
      <c r="J354" s="16">
        <v>44895</v>
      </c>
      <c r="K354" s="16">
        <f t="shared" si="394"/>
        <v>44925</v>
      </c>
      <c r="L354" s="32">
        <v>699500</v>
      </c>
      <c r="M354" s="45">
        <f t="shared" ca="1" si="395"/>
        <v>177</v>
      </c>
      <c r="N354" s="18" t="str">
        <f t="shared" ca="1" si="393"/>
        <v>Муддати тугаган</v>
      </c>
      <c r="O354" s="19">
        <f t="shared" ca="1" si="396"/>
        <v>699500</v>
      </c>
      <c r="P354" s="19" t="str">
        <f t="shared" ca="1" si="397"/>
        <v/>
      </c>
      <c r="Q354" s="19" t="str">
        <f t="shared" ca="1" si="398"/>
        <v/>
      </c>
      <c r="R354" s="19">
        <f t="shared" ca="1" si="399"/>
        <v>699500</v>
      </c>
      <c r="S354" s="20"/>
    </row>
    <row r="355" spans="2:19" x14ac:dyDescent="0.2">
      <c r="B355" s="13" t="s">
        <v>433</v>
      </c>
      <c r="C355" s="40">
        <v>305241148</v>
      </c>
      <c r="D355" s="14">
        <v>905037509</v>
      </c>
      <c r="E355" s="14"/>
      <c r="F355" s="15" t="s">
        <v>64</v>
      </c>
      <c r="G355" s="15" t="s">
        <v>169</v>
      </c>
      <c r="H355" s="15" t="s">
        <v>520</v>
      </c>
      <c r="I355" s="15" t="s">
        <v>68</v>
      </c>
      <c r="J355" s="16">
        <v>44909</v>
      </c>
      <c r="K355" s="16">
        <f t="shared" si="394"/>
        <v>44939</v>
      </c>
      <c r="L355" s="17">
        <v>1739825</v>
      </c>
      <c r="M355" s="45">
        <f t="shared" ca="1" si="395"/>
        <v>163</v>
      </c>
      <c r="N355" s="18" t="str">
        <f t="shared" ca="1" si="393"/>
        <v>Муддати тугаган</v>
      </c>
      <c r="O355" s="19">
        <f t="shared" ca="1" si="396"/>
        <v>1739825</v>
      </c>
      <c r="P355" s="19" t="str">
        <f t="shared" ca="1" si="397"/>
        <v/>
      </c>
      <c r="Q355" s="19" t="str">
        <f t="shared" ca="1" si="398"/>
        <v/>
      </c>
      <c r="R355" s="19">
        <f t="shared" ca="1" si="399"/>
        <v>1739825</v>
      </c>
      <c r="S355" s="20"/>
    </row>
    <row r="356" spans="2:19" x14ac:dyDescent="0.2">
      <c r="B356" s="13" t="s">
        <v>433</v>
      </c>
      <c r="C356" s="40">
        <v>305241148</v>
      </c>
      <c r="D356" s="14">
        <v>905037509</v>
      </c>
      <c r="E356" s="14"/>
      <c r="F356" s="15" t="s">
        <v>64</v>
      </c>
      <c r="G356" s="15" t="s">
        <v>169</v>
      </c>
      <c r="H356" s="15" t="s">
        <v>520</v>
      </c>
      <c r="I356" s="15" t="s">
        <v>68</v>
      </c>
      <c r="J356" s="16">
        <v>44936</v>
      </c>
      <c r="K356" s="16">
        <f t="shared" si="394"/>
        <v>44966</v>
      </c>
      <c r="L356" s="17">
        <v>6693650</v>
      </c>
      <c r="M356" s="45">
        <f t="shared" ca="1" si="395"/>
        <v>136</v>
      </c>
      <c r="N356" s="18" t="str">
        <f t="shared" ca="1" si="393"/>
        <v>Муддати тугаган</v>
      </c>
      <c r="O356" s="19">
        <f t="shared" ca="1" si="396"/>
        <v>6693650</v>
      </c>
      <c r="P356" s="19" t="str">
        <f t="shared" ca="1" si="397"/>
        <v/>
      </c>
      <c r="Q356" s="19" t="str">
        <f t="shared" ca="1" si="398"/>
        <v/>
      </c>
      <c r="R356" s="19">
        <f t="shared" ca="1" si="399"/>
        <v>6693650</v>
      </c>
      <c r="S356" s="20"/>
    </row>
    <row r="357" spans="2:19" x14ac:dyDescent="0.2">
      <c r="B357" s="13" t="s">
        <v>433</v>
      </c>
      <c r="C357" s="40">
        <v>305241148</v>
      </c>
      <c r="D357" s="14">
        <v>905037509</v>
      </c>
      <c r="E357" s="14"/>
      <c r="F357" s="15" t="s">
        <v>64</v>
      </c>
      <c r="G357" s="15" t="s">
        <v>169</v>
      </c>
      <c r="H357" s="15" t="s">
        <v>520</v>
      </c>
      <c r="I357" s="15" t="s">
        <v>68</v>
      </c>
      <c r="J357" s="16">
        <v>44921</v>
      </c>
      <c r="K357" s="16">
        <f t="shared" si="394"/>
        <v>44951</v>
      </c>
      <c r="L357" s="17">
        <v>1935000</v>
      </c>
      <c r="M357" s="45">
        <f t="shared" ca="1" si="395"/>
        <v>151</v>
      </c>
      <c r="N357" s="18" t="str">
        <f t="shared" ca="1" si="393"/>
        <v>Муддати тугаган</v>
      </c>
      <c r="O357" s="19">
        <f t="shared" ca="1" si="396"/>
        <v>1935000</v>
      </c>
      <c r="P357" s="19" t="str">
        <f t="shared" ca="1" si="397"/>
        <v/>
      </c>
      <c r="Q357" s="19" t="str">
        <f t="shared" ca="1" si="398"/>
        <v/>
      </c>
      <c r="R357" s="19">
        <f t="shared" ca="1" si="399"/>
        <v>1935000</v>
      </c>
      <c r="S357" s="20"/>
    </row>
    <row r="358" spans="2:19" x14ac:dyDescent="0.2">
      <c r="B358" s="13" t="s">
        <v>434</v>
      </c>
      <c r="C358" s="40">
        <v>201297764</v>
      </c>
      <c r="D358" s="14">
        <v>916830365</v>
      </c>
      <c r="E358" s="14"/>
      <c r="F358" s="15" t="s">
        <v>24</v>
      </c>
      <c r="G358" s="15" t="s">
        <v>239</v>
      </c>
      <c r="H358" s="15" t="s">
        <v>520</v>
      </c>
      <c r="I358" s="15" t="s">
        <v>26</v>
      </c>
      <c r="J358" s="16">
        <v>45026</v>
      </c>
      <c r="K358" s="16">
        <f t="shared" ref="K358:K366" si="400">IF(J358&gt;0,J358+30," ")</f>
        <v>45056</v>
      </c>
      <c r="L358" s="17">
        <v>2267240</v>
      </c>
      <c r="M358" s="45">
        <f t="shared" ca="1" si="395"/>
        <v>46</v>
      </c>
      <c r="N358" s="18" t="str">
        <f t="shared" ref="N358:N364" ca="1" si="401">IF(M358=0," ",IF(M358&gt;=30,"Муддати тугаган"," "))</f>
        <v>Муддати тугаган</v>
      </c>
      <c r="O358" s="19">
        <f t="shared" ca="1" si="396"/>
        <v>2267240</v>
      </c>
      <c r="P358" s="19">
        <f t="shared" ca="1" si="397"/>
        <v>2267240</v>
      </c>
      <c r="Q358" s="19" t="str">
        <f t="shared" ca="1" si="398"/>
        <v/>
      </c>
      <c r="R358" s="19" t="str">
        <f t="shared" ca="1" si="399"/>
        <v xml:space="preserve"> </v>
      </c>
      <c r="S358" s="20"/>
    </row>
    <row r="359" spans="2:19" x14ac:dyDescent="0.2">
      <c r="B359" s="13" t="s">
        <v>435</v>
      </c>
      <c r="C359" s="40">
        <v>308342218</v>
      </c>
      <c r="D359" s="14">
        <v>882079595</v>
      </c>
      <c r="E359" s="14"/>
      <c r="F359" s="15" t="s">
        <v>24</v>
      </c>
      <c r="G359" s="15" t="s">
        <v>93</v>
      </c>
      <c r="H359" s="15" t="s">
        <v>520</v>
      </c>
      <c r="I359" s="15" t="s">
        <v>83</v>
      </c>
      <c r="J359" s="16">
        <v>44952</v>
      </c>
      <c r="K359" s="16">
        <f t="shared" si="400"/>
        <v>44982</v>
      </c>
      <c r="L359" s="17">
        <v>217100</v>
      </c>
      <c r="M359" s="45">
        <f t="shared" ref="M359:M366" ca="1" si="402">IF(J359&gt;0,(+$B$1-J359),)</f>
        <v>120</v>
      </c>
      <c r="N359" s="18" t="str">
        <f t="shared" ca="1" si="401"/>
        <v>Муддати тугаган</v>
      </c>
      <c r="O359" s="19">
        <f t="shared" ref="O359:O366" ca="1" si="403">IF(M359&gt;=30,L359, " ")</f>
        <v>217100</v>
      </c>
      <c r="P359" s="19" t="str">
        <f t="shared" ref="P359:P366" ca="1" si="404">IF(M359&gt;60,"",(IF(M359&gt;30,O359, "")))</f>
        <v/>
      </c>
      <c r="Q359" s="19" t="str">
        <f t="shared" ref="Q359:Q366" ca="1" si="405">IF(M359&gt;90,"",(IF(M359&gt;60,O359, "")))</f>
        <v/>
      </c>
      <c r="R359" s="19">
        <f t="shared" ref="R359:R366" ca="1" si="406">IF(M359&gt;90,L359, " ")</f>
        <v>217100</v>
      </c>
      <c r="S359" s="20"/>
    </row>
    <row r="360" spans="2:19" x14ac:dyDescent="0.2">
      <c r="B360" s="13" t="s">
        <v>436</v>
      </c>
      <c r="C360" s="40">
        <v>203779898</v>
      </c>
      <c r="D360" s="14">
        <v>902420707</v>
      </c>
      <c r="E360" s="14"/>
      <c r="F360" s="15" t="s">
        <v>75</v>
      </c>
      <c r="G360" s="15" t="s">
        <v>144</v>
      </c>
      <c r="H360" s="15" t="s">
        <v>520</v>
      </c>
      <c r="I360" s="15" t="s">
        <v>76</v>
      </c>
      <c r="J360" s="16">
        <v>45023</v>
      </c>
      <c r="K360" s="16">
        <f t="shared" si="400"/>
        <v>45053</v>
      </c>
      <c r="L360" s="22">
        <v>2016500</v>
      </c>
      <c r="M360" s="45">
        <f t="shared" ca="1" si="402"/>
        <v>49</v>
      </c>
      <c r="N360" s="18" t="str">
        <f t="shared" ca="1" si="401"/>
        <v>Муддати тугаган</v>
      </c>
      <c r="O360" s="19">
        <f t="shared" ca="1" si="403"/>
        <v>2016500</v>
      </c>
      <c r="P360" s="19">
        <f t="shared" ca="1" si="404"/>
        <v>2016500</v>
      </c>
      <c r="Q360" s="19" t="str">
        <f t="shared" ca="1" si="405"/>
        <v/>
      </c>
      <c r="R360" s="19" t="str">
        <f t="shared" ca="1" si="406"/>
        <v xml:space="preserve"> </v>
      </c>
      <c r="S360" s="20"/>
    </row>
    <row r="361" spans="2:19" x14ac:dyDescent="0.2">
      <c r="B361" s="13" t="s">
        <v>436</v>
      </c>
      <c r="C361" s="40">
        <v>203779898</v>
      </c>
      <c r="D361" s="14">
        <v>902420707</v>
      </c>
      <c r="E361" s="14"/>
      <c r="F361" s="15" t="s">
        <v>75</v>
      </c>
      <c r="G361" s="15" t="s">
        <v>144</v>
      </c>
      <c r="H361" s="15" t="s">
        <v>520</v>
      </c>
      <c r="I361" s="15" t="s">
        <v>76</v>
      </c>
      <c r="J361" s="16">
        <v>45033</v>
      </c>
      <c r="K361" s="16">
        <f t="shared" si="400"/>
        <v>45063</v>
      </c>
      <c r="L361" s="17">
        <v>1780000</v>
      </c>
      <c r="M361" s="45">
        <f t="shared" ca="1" si="402"/>
        <v>39</v>
      </c>
      <c r="N361" s="18" t="str">
        <f t="shared" ca="1" si="401"/>
        <v>Муддати тугаган</v>
      </c>
      <c r="O361" s="19">
        <f t="shared" ca="1" si="403"/>
        <v>1780000</v>
      </c>
      <c r="P361" s="19">
        <f t="shared" ca="1" si="404"/>
        <v>1780000</v>
      </c>
      <c r="Q361" s="19" t="str">
        <f t="shared" ca="1" si="405"/>
        <v/>
      </c>
      <c r="R361" s="19" t="str">
        <f t="shared" ca="1" si="406"/>
        <v xml:space="preserve"> </v>
      </c>
      <c r="S361" s="20"/>
    </row>
    <row r="362" spans="2:19" x14ac:dyDescent="0.2">
      <c r="B362" s="13" t="s">
        <v>437</v>
      </c>
      <c r="C362" s="40">
        <v>305582737</v>
      </c>
      <c r="D362" s="14">
        <v>903593029</v>
      </c>
      <c r="E362" s="14"/>
      <c r="F362" s="15" t="s">
        <v>64</v>
      </c>
      <c r="G362" s="15" t="s">
        <v>170</v>
      </c>
      <c r="H362" s="15" t="s">
        <v>520</v>
      </c>
      <c r="I362" s="15" t="s">
        <v>282</v>
      </c>
      <c r="J362" s="16">
        <v>44900</v>
      </c>
      <c r="K362" s="16">
        <f t="shared" si="400"/>
        <v>44930</v>
      </c>
      <c r="L362" s="17">
        <v>937500</v>
      </c>
      <c r="M362" s="45">
        <f t="shared" ca="1" si="402"/>
        <v>172</v>
      </c>
      <c r="N362" s="18" t="str">
        <f t="shared" ca="1" si="401"/>
        <v>Муддати тугаган</v>
      </c>
      <c r="O362" s="19">
        <f t="shared" ca="1" si="403"/>
        <v>937500</v>
      </c>
      <c r="P362" s="19" t="str">
        <f t="shared" ca="1" si="404"/>
        <v/>
      </c>
      <c r="Q362" s="19" t="str">
        <f t="shared" ca="1" si="405"/>
        <v/>
      </c>
      <c r="R362" s="19">
        <f t="shared" ca="1" si="406"/>
        <v>937500</v>
      </c>
      <c r="S362" s="20"/>
    </row>
    <row r="363" spans="2:19" x14ac:dyDescent="0.2">
      <c r="B363" s="13" t="s">
        <v>437</v>
      </c>
      <c r="C363" s="40">
        <v>305582737</v>
      </c>
      <c r="D363" s="14">
        <v>903593029</v>
      </c>
      <c r="E363" s="14"/>
      <c r="F363" s="15" t="s">
        <v>64</v>
      </c>
      <c r="G363" s="15" t="s">
        <v>170</v>
      </c>
      <c r="H363" s="15" t="s">
        <v>520</v>
      </c>
      <c r="I363" s="15" t="s">
        <v>282</v>
      </c>
      <c r="J363" s="16">
        <v>44921</v>
      </c>
      <c r="K363" s="16">
        <f t="shared" si="400"/>
        <v>44951</v>
      </c>
      <c r="L363" s="17">
        <v>937500</v>
      </c>
      <c r="M363" s="45">
        <f t="shared" ca="1" si="402"/>
        <v>151</v>
      </c>
      <c r="N363" s="18" t="str">
        <f t="shared" ca="1" si="401"/>
        <v>Муддати тугаган</v>
      </c>
      <c r="O363" s="19">
        <f t="shared" ca="1" si="403"/>
        <v>937500</v>
      </c>
      <c r="P363" s="19" t="str">
        <f t="shared" ca="1" si="404"/>
        <v/>
      </c>
      <c r="Q363" s="19" t="str">
        <f t="shared" ca="1" si="405"/>
        <v/>
      </c>
      <c r="R363" s="19">
        <f t="shared" ca="1" si="406"/>
        <v>937500</v>
      </c>
      <c r="S363" s="20"/>
    </row>
    <row r="364" spans="2:19" x14ac:dyDescent="0.2">
      <c r="B364" s="13" t="s">
        <v>438</v>
      </c>
      <c r="C364" s="40">
        <v>305105480</v>
      </c>
      <c r="D364" s="14">
        <v>902304454</v>
      </c>
      <c r="E364" s="14"/>
      <c r="F364" s="15" t="s">
        <v>24</v>
      </c>
      <c r="G364" s="15" t="s">
        <v>239</v>
      </c>
      <c r="H364" s="15" t="s">
        <v>520</v>
      </c>
      <c r="I364" s="15" t="s">
        <v>101</v>
      </c>
      <c r="J364" s="16">
        <v>45041</v>
      </c>
      <c r="K364" s="16">
        <f t="shared" si="400"/>
        <v>45071</v>
      </c>
      <c r="L364" s="17">
        <v>1424000</v>
      </c>
      <c r="M364" s="45">
        <f t="shared" ca="1" si="402"/>
        <v>31</v>
      </c>
      <c r="N364" s="18" t="str">
        <f t="shared" ca="1" si="401"/>
        <v>Муддати тугаган</v>
      </c>
      <c r="O364" s="19">
        <f t="shared" ca="1" si="403"/>
        <v>1424000</v>
      </c>
      <c r="P364" s="19">
        <f t="shared" ca="1" si="404"/>
        <v>1424000</v>
      </c>
      <c r="Q364" s="19" t="str">
        <f t="shared" ca="1" si="405"/>
        <v/>
      </c>
      <c r="R364" s="19" t="str">
        <f t="shared" ca="1" si="406"/>
        <v xml:space="preserve"> </v>
      </c>
      <c r="S364" s="20"/>
    </row>
    <row r="365" spans="2:19" x14ac:dyDescent="0.2">
      <c r="B365" s="13" t="s">
        <v>439</v>
      </c>
      <c r="C365" s="40">
        <v>305835261</v>
      </c>
      <c r="D365" s="14">
        <v>994406777</v>
      </c>
      <c r="E365" s="14"/>
      <c r="F365" s="15" t="s">
        <v>75</v>
      </c>
      <c r="G365" s="15" t="s">
        <v>75</v>
      </c>
      <c r="H365" s="15" t="s">
        <v>520</v>
      </c>
      <c r="I365" s="15" t="s">
        <v>77</v>
      </c>
      <c r="J365" s="16">
        <v>45026</v>
      </c>
      <c r="K365" s="16">
        <f t="shared" si="400"/>
        <v>45056</v>
      </c>
      <c r="L365" s="17">
        <v>1889700</v>
      </c>
      <c r="M365" s="45">
        <f t="shared" ca="1" si="402"/>
        <v>46</v>
      </c>
      <c r="N365" s="18" t="str">
        <f t="shared" ref="N365:N374" ca="1" si="407">IF(M365=0," ",IF(M365&gt;=30,"Муддати тугаган"," "))</f>
        <v>Муддати тугаган</v>
      </c>
      <c r="O365" s="19">
        <f t="shared" ca="1" si="403"/>
        <v>1889700</v>
      </c>
      <c r="P365" s="19">
        <f t="shared" ca="1" si="404"/>
        <v>1889700</v>
      </c>
      <c r="Q365" s="19" t="str">
        <f t="shared" ca="1" si="405"/>
        <v/>
      </c>
      <c r="R365" s="19" t="str">
        <f t="shared" ca="1" si="406"/>
        <v xml:space="preserve"> </v>
      </c>
      <c r="S365" s="20"/>
    </row>
    <row r="366" spans="2:19" x14ac:dyDescent="0.2">
      <c r="B366" s="13" t="s">
        <v>440</v>
      </c>
      <c r="C366" s="40">
        <v>307665931</v>
      </c>
      <c r="D366" s="14">
        <v>945764605</v>
      </c>
      <c r="E366" s="14"/>
      <c r="F366" s="15" t="s">
        <v>15</v>
      </c>
      <c r="G366" s="15" t="s">
        <v>156</v>
      </c>
      <c r="H366" s="15" t="s">
        <v>520</v>
      </c>
      <c r="I366" s="15" t="s">
        <v>16</v>
      </c>
      <c r="J366" s="16">
        <v>44932</v>
      </c>
      <c r="K366" s="16">
        <f t="shared" si="400"/>
        <v>44962</v>
      </c>
      <c r="L366" s="17">
        <v>3247975</v>
      </c>
      <c r="M366" s="45">
        <f t="shared" ca="1" si="402"/>
        <v>140</v>
      </c>
      <c r="N366" s="18" t="str">
        <f t="shared" ca="1" si="407"/>
        <v>Муддати тугаган</v>
      </c>
      <c r="O366" s="19">
        <f t="shared" ca="1" si="403"/>
        <v>3247975</v>
      </c>
      <c r="P366" s="19" t="str">
        <f t="shared" ca="1" si="404"/>
        <v/>
      </c>
      <c r="Q366" s="19" t="str">
        <f t="shared" ca="1" si="405"/>
        <v/>
      </c>
      <c r="R366" s="19">
        <f t="shared" ca="1" si="406"/>
        <v>3247975</v>
      </c>
      <c r="S366" s="20"/>
    </row>
    <row r="367" spans="2:19" x14ac:dyDescent="0.2">
      <c r="B367" s="13" t="s">
        <v>441</v>
      </c>
      <c r="C367" s="40">
        <v>306617642</v>
      </c>
      <c r="D367" s="14">
        <v>915051503</v>
      </c>
      <c r="E367" s="14"/>
      <c r="F367" s="15" t="s">
        <v>75</v>
      </c>
      <c r="G367" s="15" t="s">
        <v>429</v>
      </c>
      <c r="H367" s="15" t="s">
        <v>520</v>
      </c>
      <c r="I367" s="15" t="s">
        <v>77</v>
      </c>
      <c r="J367" s="16">
        <v>45022</v>
      </c>
      <c r="K367" s="16">
        <f t="shared" ref="K367:K375" si="408">IF(J367&gt;0,J367+30," ")</f>
        <v>45052</v>
      </c>
      <c r="L367" s="17">
        <v>1864500</v>
      </c>
      <c r="M367" s="45">
        <f t="shared" ref="M367:M375" ca="1" si="409">IF(J367&gt;0,(+$B$1-J367),)</f>
        <v>50</v>
      </c>
      <c r="N367" s="18" t="str">
        <f t="shared" ca="1" si="407"/>
        <v>Муддати тугаган</v>
      </c>
      <c r="O367" s="19">
        <f t="shared" ref="O367:O375" ca="1" si="410">IF(M367&gt;=30,L367, " ")</f>
        <v>1864500</v>
      </c>
      <c r="P367" s="19">
        <f t="shared" ref="P367:P375" ca="1" si="411">IF(M367&gt;60,"",(IF(M367&gt;30,O367, "")))</f>
        <v>1864500</v>
      </c>
      <c r="Q367" s="19" t="str">
        <f t="shared" ref="Q367:Q375" ca="1" si="412">IF(M367&gt;90,"",(IF(M367&gt;60,O367, "")))</f>
        <v/>
      </c>
      <c r="R367" s="19" t="str">
        <f t="shared" ref="R367:R375" ca="1" si="413">IF(M367&gt;90,L367, " ")</f>
        <v xml:space="preserve"> </v>
      </c>
      <c r="S367" s="20"/>
    </row>
    <row r="368" spans="2:19" x14ac:dyDescent="0.2">
      <c r="B368" s="13" t="s">
        <v>442</v>
      </c>
      <c r="C368" s="40">
        <v>201237821</v>
      </c>
      <c r="D368" s="14">
        <v>902317292</v>
      </c>
      <c r="E368" s="14"/>
      <c r="F368" s="15" t="s">
        <v>24</v>
      </c>
      <c r="G368" s="15" t="s">
        <v>103</v>
      </c>
      <c r="H368" s="15" t="s">
        <v>520</v>
      </c>
      <c r="I368" s="15" t="s">
        <v>245</v>
      </c>
      <c r="J368" s="16">
        <v>45002</v>
      </c>
      <c r="K368" s="16">
        <f t="shared" si="408"/>
        <v>45032</v>
      </c>
      <c r="L368" s="17">
        <v>350700</v>
      </c>
      <c r="M368" s="45">
        <f t="shared" ca="1" si="409"/>
        <v>70</v>
      </c>
      <c r="N368" s="18" t="str">
        <f t="shared" ca="1" si="407"/>
        <v>Муддати тугаган</v>
      </c>
      <c r="O368" s="19">
        <f t="shared" ca="1" si="410"/>
        <v>350700</v>
      </c>
      <c r="P368" s="19" t="str">
        <f t="shared" ca="1" si="411"/>
        <v/>
      </c>
      <c r="Q368" s="19">
        <f t="shared" ca="1" si="412"/>
        <v>350700</v>
      </c>
      <c r="R368" s="19" t="str">
        <f t="shared" ca="1" si="413"/>
        <v xml:space="preserve"> </v>
      </c>
      <c r="S368" s="20"/>
    </row>
    <row r="369" spans="2:19" x14ac:dyDescent="0.2">
      <c r="B369" s="13" t="s">
        <v>443</v>
      </c>
      <c r="C369" s="40">
        <v>201709953</v>
      </c>
      <c r="D369" s="14">
        <v>983503505</v>
      </c>
      <c r="E369" s="14"/>
      <c r="F369" s="15" t="s">
        <v>21</v>
      </c>
      <c r="G369" s="15" t="s">
        <v>22</v>
      </c>
      <c r="H369" s="15" t="s">
        <v>520</v>
      </c>
      <c r="I369" s="15" t="s">
        <v>23</v>
      </c>
      <c r="J369" s="16">
        <v>44967</v>
      </c>
      <c r="K369" s="16">
        <f t="shared" si="408"/>
        <v>44997</v>
      </c>
      <c r="L369" s="17">
        <v>1016100</v>
      </c>
      <c r="M369" s="45">
        <f t="shared" ca="1" si="409"/>
        <v>105</v>
      </c>
      <c r="N369" s="18" t="str">
        <f t="shared" ca="1" si="407"/>
        <v>Муддати тугаган</v>
      </c>
      <c r="O369" s="19">
        <f t="shared" ca="1" si="410"/>
        <v>1016100</v>
      </c>
      <c r="P369" s="19" t="str">
        <f t="shared" ca="1" si="411"/>
        <v/>
      </c>
      <c r="Q369" s="19" t="str">
        <f t="shared" ca="1" si="412"/>
        <v/>
      </c>
      <c r="R369" s="19">
        <f t="shared" ca="1" si="413"/>
        <v>1016100</v>
      </c>
      <c r="S369" s="20"/>
    </row>
    <row r="370" spans="2:19" x14ac:dyDescent="0.2">
      <c r="B370" s="13" t="s">
        <v>381</v>
      </c>
      <c r="C370" s="40">
        <v>309745466</v>
      </c>
      <c r="D370" s="14">
        <v>919057772</v>
      </c>
      <c r="E370" s="14"/>
      <c r="F370" s="15" t="s">
        <v>21</v>
      </c>
      <c r="G370" s="15" t="s">
        <v>121</v>
      </c>
      <c r="H370" s="15" t="s">
        <v>520</v>
      </c>
      <c r="I370" s="15" t="s">
        <v>70</v>
      </c>
      <c r="J370" s="16">
        <v>44894</v>
      </c>
      <c r="K370" s="16">
        <f t="shared" si="408"/>
        <v>44924</v>
      </c>
      <c r="L370" s="17">
        <v>474800</v>
      </c>
      <c r="M370" s="45">
        <f t="shared" ca="1" si="409"/>
        <v>178</v>
      </c>
      <c r="N370" s="18" t="str">
        <f t="shared" ca="1" si="407"/>
        <v>Муддати тугаган</v>
      </c>
      <c r="O370" s="19">
        <f t="shared" ca="1" si="410"/>
        <v>474800</v>
      </c>
      <c r="P370" s="19" t="str">
        <f t="shared" ca="1" si="411"/>
        <v/>
      </c>
      <c r="Q370" s="19" t="str">
        <f t="shared" ca="1" si="412"/>
        <v/>
      </c>
      <c r="R370" s="19">
        <f t="shared" ca="1" si="413"/>
        <v>474800</v>
      </c>
      <c r="S370" s="20"/>
    </row>
    <row r="371" spans="2:19" x14ac:dyDescent="0.2">
      <c r="B371" s="13" t="s">
        <v>381</v>
      </c>
      <c r="C371" s="40">
        <v>309745466</v>
      </c>
      <c r="D371" s="14">
        <v>919057772</v>
      </c>
      <c r="E371" s="14"/>
      <c r="F371" s="15" t="s">
        <v>21</v>
      </c>
      <c r="G371" s="15" t="s">
        <v>121</v>
      </c>
      <c r="H371" s="15" t="s">
        <v>520</v>
      </c>
      <c r="I371" s="15" t="s">
        <v>70</v>
      </c>
      <c r="J371" s="16">
        <v>44915</v>
      </c>
      <c r="K371" s="16">
        <f t="shared" si="408"/>
        <v>44945</v>
      </c>
      <c r="L371" s="17">
        <v>1034900</v>
      </c>
      <c r="M371" s="45">
        <f t="shared" ca="1" si="409"/>
        <v>157</v>
      </c>
      <c r="N371" s="18" t="str">
        <f t="shared" ca="1" si="407"/>
        <v>Муддати тугаган</v>
      </c>
      <c r="O371" s="19">
        <f t="shared" ca="1" si="410"/>
        <v>1034900</v>
      </c>
      <c r="P371" s="19" t="str">
        <f t="shared" ca="1" si="411"/>
        <v/>
      </c>
      <c r="Q371" s="19" t="str">
        <f t="shared" ca="1" si="412"/>
        <v/>
      </c>
      <c r="R371" s="19">
        <f t="shared" ca="1" si="413"/>
        <v>1034900</v>
      </c>
      <c r="S371" s="20"/>
    </row>
    <row r="372" spans="2:19" x14ac:dyDescent="0.2">
      <c r="B372" s="24" t="s">
        <v>444</v>
      </c>
      <c r="C372" s="43">
        <v>302432687</v>
      </c>
      <c r="D372" s="25">
        <v>974107050</v>
      </c>
      <c r="E372" s="14"/>
      <c r="F372" s="26" t="s">
        <v>13</v>
      </c>
      <c r="G372" s="26" t="s">
        <v>14</v>
      </c>
      <c r="H372" s="26" t="s">
        <v>520</v>
      </c>
      <c r="I372" s="26" t="s">
        <v>88</v>
      </c>
      <c r="J372" s="27">
        <v>44405</v>
      </c>
      <c r="K372" s="27">
        <f t="shared" si="408"/>
        <v>44435</v>
      </c>
      <c r="L372" s="37">
        <v>1712475</v>
      </c>
      <c r="M372" s="46">
        <f t="shared" ca="1" si="409"/>
        <v>667</v>
      </c>
      <c r="N372" s="57" t="str">
        <f t="shared" ca="1" si="407"/>
        <v>Муддати тугаган</v>
      </c>
      <c r="O372" s="29">
        <f t="shared" ca="1" si="410"/>
        <v>1712475</v>
      </c>
      <c r="P372" s="29" t="str">
        <f t="shared" ca="1" si="411"/>
        <v/>
      </c>
      <c r="Q372" s="29" t="str">
        <f t="shared" ca="1" si="412"/>
        <v/>
      </c>
      <c r="R372" s="29">
        <f t="shared" ca="1" si="413"/>
        <v>1712475</v>
      </c>
      <c r="S372" s="20"/>
    </row>
    <row r="373" spans="2:19" x14ac:dyDescent="0.2">
      <c r="B373" s="24" t="s">
        <v>444</v>
      </c>
      <c r="C373" s="43">
        <v>302432687</v>
      </c>
      <c r="D373" s="25">
        <v>974107050</v>
      </c>
      <c r="E373" s="14"/>
      <c r="F373" s="26" t="s">
        <v>13</v>
      </c>
      <c r="G373" s="26" t="s">
        <v>14</v>
      </c>
      <c r="H373" s="26" t="s">
        <v>520</v>
      </c>
      <c r="I373" s="26" t="s">
        <v>88</v>
      </c>
      <c r="J373" s="27">
        <v>44433</v>
      </c>
      <c r="K373" s="27">
        <f t="shared" si="408"/>
        <v>44463</v>
      </c>
      <c r="L373" s="37">
        <v>932000</v>
      </c>
      <c r="M373" s="46">
        <f t="shared" ca="1" si="409"/>
        <v>639</v>
      </c>
      <c r="N373" s="57" t="str">
        <f t="shared" ca="1" si="407"/>
        <v>Муддати тугаган</v>
      </c>
      <c r="O373" s="29">
        <f t="shared" ca="1" si="410"/>
        <v>932000</v>
      </c>
      <c r="P373" s="29" t="str">
        <f t="shared" ca="1" si="411"/>
        <v/>
      </c>
      <c r="Q373" s="29" t="str">
        <f t="shared" ca="1" si="412"/>
        <v/>
      </c>
      <c r="R373" s="29">
        <f t="shared" ca="1" si="413"/>
        <v>932000</v>
      </c>
      <c r="S373" s="20"/>
    </row>
    <row r="374" spans="2:19" x14ac:dyDescent="0.2">
      <c r="B374" s="13" t="s">
        <v>563</v>
      </c>
      <c r="C374" s="40">
        <v>204975836</v>
      </c>
      <c r="D374" s="14">
        <v>904700022</v>
      </c>
      <c r="E374" s="14"/>
      <c r="F374" s="15" t="s">
        <v>64</v>
      </c>
      <c r="G374" s="15" t="s">
        <v>64</v>
      </c>
      <c r="H374" s="15" t="s">
        <v>520</v>
      </c>
      <c r="I374" s="15" t="s">
        <v>69</v>
      </c>
      <c r="J374" s="16">
        <v>44994</v>
      </c>
      <c r="K374" s="16">
        <f t="shared" si="408"/>
        <v>45024</v>
      </c>
      <c r="L374" s="17">
        <v>1344530</v>
      </c>
      <c r="M374" s="45">
        <f t="shared" ca="1" si="409"/>
        <v>78</v>
      </c>
      <c r="N374" s="18" t="str">
        <f t="shared" ca="1" si="407"/>
        <v>Муддати тугаган</v>
      </c>
      <c r="O374" s="19">
        <f t="shared" ca="1" si="410"/>
        <v>1344530</v>
      </c>
      <c r="P374" s="19" t="str">
        <f t="shared" ca="1" si="411"/>
        <v/>
      </c>
      <c r="Q374" s="19">
        <f t="shared" ca="1" si="412"/>
        <v>1344530</v>
      </c>
      <c r="R374" s="19" t="str">
        <f t="shared" ca="1" si="413"/>
        <v xml:space="preserve"> </v>
      </c>
      <c r="S374" s="20"/>
    </row>
    <row r="375" spans="2:19" x14ac:dyDescent="0.2">
      <c r="B375" s="13" t="s">
        <v>446</v>
      </c>
      <c r="C375" s="40">
        <v>304461018</v>
      </c>
      <c r="D375" s="14">
        <v>939154396</v>
      </c>
      <c r="E375" s="14"/>
      <c r="F375" s="15" t="s">
        <v>55</v>
      </c>
      <c r="G375" s="15" t="s">
        <v>55</v>
      </c>
      <c r="H375" s="15" t="s">
        <v>520</v>
      </c>
      <c r="I375" s="15" t="s">
        <v>59</v>
      </c>
      <c r="J375" s="16">
        <v>44945</v>
      </c>
      <c r="K375" s="16">
        <f t="shared" si="408"/>
        <v>44975</v>
      </c>
      <c r="L375" s="17">
        <v>2495000</v>
      </c>
      <c r="M375" s="45">
        <f t="shared" ca="1" si="409"/>
        <v>127</v>
      </c>
      <c r="N375" s="18" t="str">
        <f t="shared" ref="N375:N377" ca="1" si="414">IF(M375=0," ",IF(M375&gt;=30,"Муддати тугаган"," "))</f>
        <v>Муддати тугаган</v>
      </c>
      <c r="O375" s="19">
        <f t="shared" ca="1" si="410"/>
        <v>2495000</v>
      </c>
      <c r="P375" s="19" t="str">
        <f t="shared" ca="1" si="411"/>
        <v/>
      </c>
      <c r="Q375" s="19" t="str">
        <f t="shared" ca="1" si="412"/>
        <v/>
      </c>
      <c r="R375" s="19">
        <f t="shared" ca="1" si="413"/>
        <v>2495000</v>
      </c>
      <c r="S375" s="20"/>
    </row>
    <row r="376" spans="2:19" x14ac:dyDescent="0.2">
      <c r="B376" s="13" t="s">
        <v>447</v>
      </c>
      <c r="C376" s="40">
        <v>303921774</v>
      </c>
      <c r="D376" s="14">
        <v>916414666</v>
      </c>
      <c r="E376" s="14"/>
      <c r="F376" s="15" t="s">
        <v>45</v>
      </c>
      <c r="G376" s="15" t="s">
        <v>141</v>
      </c>
      <c r="H376" s="15" t="s">
        <v>520</v>
      </c>
      <c r="I376" s="15" t="s">
        <v>116</v>
      </c>
      <c r="J376" s="16">
        <v>45035</v>
      </c>
      <c r="K376" s="16">
        <f t="shared" ref="K376:K377" si="415">IF(J376&gt;0,J376+30," ")</f>
        <v>45065</v>
      </c>
      <c r="L376" s="22">
        <v>2300000</v>
      </c>
      <c r="M376" s="45">
        <f t="shared" ref="M376:M379" ca="1" si="416">IF(J376&gt;0,(+$B$1-J376),)</f>
        <v>37</v>
      </c>
      <c r="N376" s="18" t="str">
        <f t="shared" ca="1" si="414"/>
        <v>Муддати тугаган</v>
      </c>
      <c r="O376" s="19">
        <f t="shared" ref="O376:O379" ca="1" si="417">IF(M376&gt;=30,L376, " ")</f>
        <v>2300000</v>
      </c>
      <c r="P376" s="19">
        <f t="shared" ref="P376:P379" ca="1" si="418">IF(M376&gt;60,"",(IF(M376&gt;30,O376, "")))</f>
        <v>2300000</v>
      </c>
      <c r="Q376" s="19" t="str">
        <f t="shared" ref="Q376:Q379" ca="1" si="419">IF(M376&gt;90,"",(IF(M376&gt;60,O376, "")))</f>
        <v/>
      </c>
      <c r="R376" s="19" t="str">
        <f t="shared" ref="R376:R379" ca="1" si="420">IF(M376&gt;90,L376, " ")</f>
        <v xml:space="preserve"> </v>
      </c>
      <c r="S376" s="20"/>
    </row>
    <row r="377" spans="2:19" x14ac:dyDescent="0.2">
      <c r="B377" s="13" t="s">
        <v>448</v>
      </c>
      <c r="C377" s="40">
        <v>303632492</v>
      </c>
      <c r="D377" s="14"/>
      <c r="E377" s="14"/>
      <c r="F377" s="15" t="s">
        <v>15</v>
      </c>
      <c r="G377" s="15" t="s">
        <v>231</v>
      </c>
      <c r="H377" s="15" t="s">
        <v>520</v>
      </c>
      <c r="I377" s="15" t="s">
        <v>40</v>
      </c>
      <c r="J377" s="16">
        <v>45022</v>
      </c>
      <c r="K377" s="16">
        <f t="shared" si="415"/>
        <v>45052</v>
      </c>
      <c r="L377" s="17">
        <v>1890000</v>
      </c>
      <c r="M377" s="45">
        <f t="shared" ca="1" si="416"/>
        <v>50</v>
      </c>
      <c r="N377" s="18" t="str">
        <f t="shared" ca="1" si="414"/>
        <v>Муддати тугаган</v>
      </c>
      <c r="O377" s="19">
        <f t="shared" ca="1" si="417"/>
        <v>1890000</v>
      </c>
      <c r="P377" s="19">
        <f t="shared" ca="1" si="418"/>
        <v>1890000</v>
      </c>
      <c r="Q377" s="19" t="str">
        <f t="shared" ca="1" si="419"/>
        <v/>
      </c>
      <c r="R377" s="19" t="str">
        <f t="shared" ca="1" si="420"/>
        <v xml:space="preserve"> </v>
      </c>
      <c r="S377" s="20"/>
    </row>
    <row r="378" spans="2:19" x14ac:dyDescent="0.2">
      <c r="B378" s="13" t="s">
        <v>449</v>
      </c>
      <c r="C378" s="40">
        <v>309452547</v>
      </c>
      <c r="D378" s="14"/>
      <c r="E378" s="14"/>
      <c r="F378" s="15" t="s">
        <v>17</v>
      </c>
      <c r="G378" s="15" t="s">
        <v>147</v>
      </c>
      <c r="H378" s="15" t="s">
        <v>520</v>
      </c>
      <c r="I378" s="15" t="s">
        <v>148</v>
      </c>
      <c r="J378" s="16">
        <v>44978</v>
      </c>
      <c r="K378" s="16">
        <f t="shared" ref="K378:K382" si="421">IF(J378&gt;0,J378+30," ")</f>
        <v>45008</v>
      </c>
      <c r="L378" s="17">
        <v>2349000</v>
      </c>
      <c r="M378" s="45">
        <f t="shared" ca="1" si="416"/>
        <v>94</v>
      </c>
      <c r="N378" s="18" t="str">
        <f t="shared" ref="N378:N381" ca="1" si="422">IF(M378=0," ",IF(M378&gt;=30,"Муддати тугаган"," "))</f>
        <v>Муддати тугаган</v>
      </c>
      <c r="O378" s="19">
        <f t="shared" ca="1" si="417"/>
        <v>2349000</v>
      </c>
      <c r="P378" s="19" t="str">
        <f t="shared" ca="1" si="418"/>
        <v/>
      </c>
      <c r="Q378" s="19" t="str">
        <f t="shared" ca="1" si="419"/>
        <v/>
      </c>
      <c r="R378" s="19">
        <f t="shared" ca="1" si="420"/>
        <v>2349000</v>
      </c>
      <c r="S378" s="20"/>
    </row>
    <row r="379" spans="2:19" x14ac:dyDescent="0.2">
      <c r="B379" s="13" t="s">
        <v>217</v>
      </c>
      <c r="C379" s="40">
        <v>204620652</v>
      </c>
      <c r="D379" s="14">
        <v>907747161</v>
      </c>
      <c r="E379" s="14"/>
      <c r="F379" s="15" t="s">
        <v>30</v>
      </c>
      <c r="G379" s="15" t="s">
        <v>79</v>
      </c>
      <c r="H379" s="15" t="s">
        <v>520</v>
      </c>
      <c r="I379" s="15" t="s">
        <v>80</v>
      </c>
      <c r="J379" s="16">
        <v>44945</v>
      </c>
      <c r="K379" s="16">
        <f t="shared" si="421"/>
        <v>44975</v>
      </c>
      <c r="L379" s="17">
        <v>462000</v>
      </c>
      <c r="M379" s="45">
        <f t="shared" ca="1" si="416"/>
        <v>127</v>
      </c>
      <c r="N379" s="18" t="str">
        <f t="shared" ca="1" si="422"/>
        <v>Муддати тугаган</v>
      </c>
      <c r="O379" s="19">
        <f t="shared" ca="1" si="417"/>
        <v>462000</v>
      </c>
      <c r="P379" s="19" t="str">
        <f t="shared" ca="1" si="418"/>
        <v/>
      </c>
      <c r="Q379" s="19" t="str">
        <f t="shared" ca="1" si="419"/>
        <v/>
      </c>
      <c r="R379" s="19">
        <f t="shared" ca="1" si="420"/>
        <v>462000</v>
      </c>
      <c r="S379" s="20"/>
    </row>
    <row r="380" spans="2:19" x14ac:dyDescent="0.2">
      <c r="B380" s="13" t="s">
        <v>450</v>
      </c>
      <c r="C380" s="40">
        <v>305916248</v>
      </c>
      <c r="D380" s="14"/>
      <c r="E380" s="14"/>
      <c r="F380" s="15" t="s">
        <v>21</v>
      </c>
      <c r="G380" s="15" t="s">
        <v>121</v>
      </c>
      <c r="H380" s="15" t="s">
        <v>520</v>
      </c>
      <c r="I380" s="15" t="s">
        <v>416</v>
      </c>
      <c r="J380" s="16">
        <v>44947</v>
      </c>
      <c r="K380" s="16">
        <f t="shared" si="421"/>
        <v>44977</v>
      </c>
      <c r="L380" s="17">
        <v>9803100</v>
      </c>
      <c r="M380" s="45">
        <f t="shared" ref="M380:M383" ca="1" si="423">IF(J380&gt;0,(+$B$1-J380),)</f>
        <v>125</v>
      </c>
      <c r="N380" s="18" t="str">
        <f t="shared" ca="1" si="422"/>
        <v>Муддати тугаган</v>
      </c>
      <c r="O380" s="19">
        <f t="shared" ref="O380:O383" ca="1" si="424">IF(M380&gt;=30,L380, " ")</f>
        <v>9803100</v>
      </c>
      <c r="P380" s="19" t="str">
        <f t="shared" ref="P380:P383" ca="1" si="425">IF(M380&gt;60,"",(IF(M380&gt;30,O380, "")))</f>
        <v/>
      </c>
      <c r="Q380" s="19" t="str">
        <f t="shared" ref="Q380:Q383" ca="1" si="426">IF(M380&gt;90,"",(IF(M380&gt;60,O380, "")))</f>
        <v/>
      </c>
      <c r="R380" s="19">
        <f t="shared" ref="R380:R383" ca="1" si="427">IF(M380&gt;90,L380, " ")</f>
        <v>9803100</v>
      </c>
      <c r="S380" s="20"/>
    </row>
    <row r="381" spans="2:19" x14ac:dyDescent="0.2">
      <c r="B381" s="13" t="s">
        <v>450</v>
      </c>
      <c r="C381" s="40">
        <v>305916248</v>
      </c>
      <c r="D381" s="14"/>
      <c r="E381" s="14"/>
      <c r="F381" s="15" t="s">
        <v>21</v>
      </c>
      <c r="G381" s="15" t="s">
        <v>121</v>
      </c>
      <c r="H381" s="15" t="s">
        <v>520</v>
      </c>
      <c r="I381" s="15" t="s">
        <v>416</v>
      </c>
      <c r="J381" s="16">
        <v>44947</v>
      </c>
      <c r="K381" s="16">
        <f t="shared" si="421"/>
        <v>44977</v>
      </c>
      <c r="L381" s="17">
        <v>14422000</v>
      </c>
      <c r="M381" s="45">
        <f t="shared" ca="1" si="423"/>
        <v>125</v>
      </c>
      <c r="N381" s="18" t="str">
        <f t="shared" ca="1" si="422"/>
        <v>Муддати тугаган</v>
      </c>
      <c r="O381" s="19">
        <f t="shared" ca="1" si="424"/>
        <v>14422000</v>
      </c>
      <c r="P381" s="19" t="str">
        <f t="shared" ca="1" si="425"/>
        <v/>
      </c>
      <c r="Q381" s="19" t="str">
        <f t="shared" ca="1" si="426"/>
        <v/>
      </c>
      <c r="R381" s="19">
        <f t="shared" ca="1" si="427"/>
        <v>14422000</v>
      </c>
      <c r="S381" s="20"/>
    </row>
    <row r="382" spans="2:19" x14ac:dyDescent="0.2">
      <c r="B382" s="13" t="s">
        <v>577</v>
      </c>
      <c r="C382" s="40">
        <v>309813509</v>
      </c>
      <c r="D382" s="14">
        <v>907778383</v>
      </c>
      <c r="E382" s="14"/>
      <c r="F382" s="15" t="s">
        <v>24</v>
      </c>
      <c r="G382" s="15" t="s">
        <v>103</v>
      </c>
      <c r="H382" s="15" t="s">
        <v>520</v>
      </c>
      <c r="I382" s="15" t="s">
        <v>245</v>
      </c>
      <c r="J382" s="16">
        <v>45012</v>
      </c>
      <c r="K382" s="16">
        <f t="shared" si="421"/>
        <v>45042</v>
      </c>
      <c r="L382" s="17">
        <v>953000</v>
      </c>
      <c r="M382" s="45">
        <f t="shared" ca="1" si="423"/>
        <v>60</v>
      </c>
      <c r="N382" s="18" t="str">
        <f t="shared" ref="N382:N386" ca="1" si="428">IF(M382=0," ",IF(M382&gt;=30,"Муддати тугаган"," "))</f>
        <v>Муддати тугаган</v>
      </c>
      <c r="O382" s="19">
        <f t="shared" ca="1" si="424"/>
        <v>953000</v>
      </c>
      <c r="P382" s="19">
        <f t="shared" ca="1" si="425"/>
        <v>953000</v>
      </c>
      <c r="Q382" s="19" t="str">
        <f t="shared" ca="1" si="426"/>
        <v/>
      </c>
      <c r="R382" s="19" t="str">
        <f t="shared" ca="1" si="427"/>
        <v xml:space="preserve"> </v>
      </c>
      <c r="S382" s="20"/>
    </row>
    <row r="383" spans="2:19" x14ac:dyDescent="0.2">
      <c r="B383" s="13" t="s">
        <v>451</v>
      </c>
      <c r="C383" s="40">
        <v>308066212</v>
      </c>
      <c r="D383" s="14">
        <v>991095593</v>
      </c>
      <c r="E383" s="14"/>
      <c r="F383" s="15" t="s">
        <v>30</v>
      </c>
      <c r="G383" s="15" t="s">
        <v>30</v>
      </c>
      <c r="H383" s="15" t="s">
        <v>520</v>
      </c>
      <c r="I383" s="15" t="s">
        <v>31</v>
      </c>
      <c r="J383" s="16">
        <v>44565</v>
      </c>
      <c r="K383" s="16">
        <f t="shared" ref="K383:K386" si="429">IF(J383&gt;0,J383+30," ")</f>
        <v>44595</v>
      </c>
      <c r="L383" s="17">
        <v>500000</v>
      </c>
      <c r="M383" s="45">
        <f t="shared" ca="1" si="423"/>
        <v>507</v>
      </c>
      <c r="N383" s="18" t="str">
        <f t="shared" ca="1" si="428"/>
        <v>Муддати тугаган</v>
      </c>
      <c r="O383" s="19">
        <f t="shared" ca="1" si="424"/>
        <v>500000</v>
      </c>
      <c r="P383" s="19" t="str">
        <f t="shared" ca="1" si="425"/>
        <v/>
      </c>
      <c r="Q383" s="19" t="str">
        <f t="shared" ca="1" si="426"/>
        <v/>
      </c>
      <c r="R383" s="19">
        <f t="shared" ca="1" si="427"/>
        <v>500000</v>
      </c>
      <c r="S383" s="20"/>
    </row>
    <row r="384" spans="2:19" x14ac:dyDescent="0.2">
      <c r="B384" s="13" t="s">
        <v>452</v>
      </c>
      <c r="C384" s="40">
        <v>309368104</v>
      </c>
      <c r="D384" s="14">
        <v>937659294</v>
      </c>
      <c r="E384" s="14"/>
      <c r="F384" s="15" t="s">
        <v>21</v>
      </c>
      <c r="G384" s="15" t="s">
        <v>125</v>
      </c>
      <c r="H384" s="15" t="s">
        <v>520</v>
      </c>
      <c r="I384" s="15" t="s">
        <v>72</v>
      </c>
      <c r="J384" s="16">
        <v>44936</v>
      </c>
      <c r="K384" s="16">
        <f t="shared" si="429"/>
        <v>44966</v>
      </c>
      <c r="L384" s="17">
        <v>27540</v>
      </c>
      <c r="M384" s="45">
        <f t="shared" ref="M384:M386" ca="1" si="430">IF(J384&gt;0,(+$B$1-J384),)</f>
        <v>136</v>
      </c>
      <c r="N384" s="18" t="str">
        <f t="shared" ca="1" si="428"/>
        <v>Муддати тугаган</v>
      </c>
      <c r="O384" s="19">
        <f t="shared" ref="O384:O386" ca="1" si="431">IF(M384&gt;=30,L384, " ")</f>
        <v>27540</v>
      </c>
      <c r="P384" s="19" t="str">
        <f t="shared" ref="P384:P386" ca="1" si="432">IF(M384&gt;60,"",(IF(M384&gt;30,O384, "")))</f>
        <v/>
      </c>
      <c r="Q384" s="19" t="str">
        <f t="shared" ref="Q384:Q386" ca="1" si="433">IF(M384&gt;90,"",(IF(M384&gt;60,O384, "")))</f>
        <v/>
      </c>
      <c r="R384" s="19">
        <f t="shared" ref="R384:R386" ca="1" si="434">IF(M384&gt;90,L384, " ")</f>
        <v>27540</v>
      </c>
      <c r="S384" s="20"/>
    </row>
    <row r="385" spans="2:19" x14ac:dyDescent="0.2">
      <c r="B385" s="13" t="s">
        <v>453</v>
      </c>
      <c r="C385" s="40">
        <v>206027288</v>
      </c>
      <c r="D385" s="14">
        <v>932287096</v>
      </c>
      <c r="E385" s="14"/>
      <c r="F385" s="15" t="s">
        <v>64</v>
      </c>
      <c r="G385" s="15" t="s">
        <v>146</v>
      </c>
      <c r="H385" s="15" t="s">
        <v>520</v>
      </c>
      <c r="I385" s="15" t="s">
        <v>68</v>
      </c>
      <c r="J385" s="16">
        <v>45021</v>
      </c>
      <c r="K385" s="16">
        <f t="shared" si="429"/>
        <v>45051</v>
      </c>
      <c r="L385" s="21">
        <v>1089925</v>
      </c>
      <c r="M385" s="45">
        <f t="shared" ca="1" si="430"/>
        <v>51</v>
      </c>
      <c r="N385" s="18" t="str">
        <f t="shared" ca="1" si="428"/>
        <v>Муддати тугаган</v>
      </c>
      <c r="O385" s="19">
        <f t="shared" ca="1" si="431"/>
        <v>1089925</v>
      </c>
      <c r="P385" s="19">
        <f t="shared" ca="1" si="432"/>
        <v>1089925</v>
      </c>
      <c r="Q385" s="19" t="str">
        <f t="shared" ca="1" si="433"/>
        <v/>
      </c>
      <c r="R385" s="19" t="str">
        <f t="shared" ca="1" si="434"/>
        <v xml:space="preserve"> </v>
      </c>
      <c r="S385" s="20"/>
    </row>
    <row r="386" spans="2:19" x14ac:dyDescent="0.2">
      <c r="B386" s="13" t="s">
        <v>453</v>
      </c>
      <c r="C386" s="40">
        <v>206027288</v>
      </c>
      <c r="D386" s="14">
        <v>932287096</v>
      </c>
      <c r="E386" s="14"/>
      <c r="F386" s="15" t="s">
        <v>64</v>
      </c>
      <c r="G386" s="15" t="s">
        <v>64</v>
      </c>
      <c r="H386" s="15" t="s">
        <v>520</v>
      </c>
      <c r="I386" s="15" t="s">
        <v>68</v>
      </c>
      <c r="J386" s="16">
        <v>45034</v>
      </c>
      <c r="K386" s="16">
        <f t="shared" si="429"/>
        <v>45064</v>
      </c>
      <c r="L386" s="17">
        <v>1895800</v>
      </c>
      <c r="M386" s="45">
        <f t="shared" ca="1" si="430"/>
        <v>38</v>
      </c>
      <c r="N386" s="18" t="str">
        <f t="shared" ca="1" si="428"/>
        <v>Муддати тугаган</v>
      </c>
      <c r="O386" s="19">
        <f t="shared" ca="1" si="431"/>
        <v>1895800</v>
      </c>
      <c r="P386" s="19">
        <f t="shared" ca="1" si="432"/>
        <v>1895800</v>
      </c>
      <c r="Q386" s="19" t="str">
        <f t="shared" ca="1" si="433"/>
        <v/>
      </c>
      <c r="R386" s="19" t="str">
        <f t="shared" ca="1" si="434"/>
        <v xml:space="preserve"> </v>
      </c>
      <c r="S386" s="20"/>
    </row>
    <row r="387" spans="2:19" x14ac:dyDescent="0.2">
      <c r="B387" s="24" t="s">
        <v>455</v>
      </c>
      <c r="C387" s="43">
        <v>305700382</v>
      </c>
      <c r="D387" s="25">
        <v>935601387</v>
      </c>
      <c r="E387" s="14"/>
      <c r="F387" s="26" t="s">
        <v>17</v>
      </c>
      <c r="G387" s="26" t="s">
        <v>208</v>
      </c>
      <c r="H387" s="26" t="s">
        <v>520</v>
      </c>
      <c r="I387" s="26" t="s">
        <v>300</v>
      </c>
      <c r="J387" s="27">
        <v>44557</v>
      </c>
      <c r="K387" s="27">
        <f t="shared" ref="K387:K391" si="435">IF(J387&gt;0,J387+30," ")</f>
        <v>44587</v>
      </c>
      <c r="L387" s="37">
        <v>8053850</v>
      </c>
      <c r="M387" s="46">
        <f t="shared" ref="M387:M391" ca="1" si="436">IF(J387&gt;0,(+$B$1-J387),)</f>
        <v>515</v>
      </c>
      <c r="N387" s="57" t="str">
        <f t="shared" ref="N387:N390" ca="1" si="437">IF(M387=0," ",IF(M387&gt;=30,"Муддати тугаган"," "))</f>
        <v>Муддати тугаган</v>
      </c>
      <c r="O387" s="29">
        <f t="shared" ref="O387:O391" ca="1" si="438">IF(M387&gt;=30,L387, " ")</f>
        <v>8053850</v>
      </c>
      <c r="P387" s="29" t="str">
        <f t="shared" ref="P387:P391" ca="1" si="439">IF(M387&gt;60,"",(IF(M387&gt;30,O387, "")))</f>
        <v/>
      </c>
      <c r="Q387" s="29" t="str">
        <f t="shared" ref="Q387:Q391" ca="1" si="440">IF(M387&gt;90,"",(IF(M387&gt;60,O387, "")))</f>
        <v/>
      </c>
      <c r="R387" s="29">
        <f t="shared" ref="R387:R391" ca="1" si="441">IF(M387&gt;90,L387, " ")</f>
        <v>8053850</v>
      </c>
      <c r="S387" s="20"/>
    </row>
    <row r="388" spans="2:19" x14ac:dyDescent="0.2">
      <c r="B388" s="13" t="s">
        <v>545</v>
      </c>
      <c r="C388" s="40">
        <v>302460914</v>
      </c>
      <c r="D388" s="14">
        <v>916867007</v>
      </c>
      <c r="E388" s="14"/>
      <c r="F388" s="15" t="s">
        <v>24</v>
      </c>
      <c r="G388" s="15" t="s">
        <v>128</v>
      </c>
      <c r="H388" s="15" t="s">
        <v>520</v>
      </c>
      <c r="I388" s="15" t="s">
        <v>85</v>
      </c>
      <c r="J388" s="16">
        <v>45036</v>
      </c>
      <c r="K388" s="16">
        <f t="shared" si="435"/>
        <v>45066</v>
      </c>
      <c r="L388" s="17">
        <v>1050500</v>
      </c>
      <c r="M388" s="45">
        <f t="shared" ca="1" si="436"/>
        <v>36</v>
      </c>
      <c r="N388" s="18" t="str">
        <f t="shared" ca="1" si="437"/>
        <v>Муддати тугаган</v>
      </c>
      <c r="O388" s="19">
        <f t="shared" ca="1" si="438"/>
        <v>1050500</v>
      </c>
      <c r="P388" s="19">
        <f t="shared" ca="1" si="439"/>
        <v>1050500</v>
      </c>
      <c r="Q388" s="19" t="str">
        <f t="shared" ca="1" si="440"/>
        <v/>
      </c>
      <c r="R388" s="19" t="str">
        <f t="shared" ca="1" si="441"/>
        <v xml:space="preserve"> </v>
      </c>
      <c r="S388" s="20"/>
    </row>
    <row r="389" spans="2:19" x14ac:dyDescent="0.2">
      <c r="B389" s="13" t="s">
        <v>456</v>
      </c>
      <c r="C389" s="40">
        <v>306517008</v>
      </c>
      <c r="D389" s="14"/>
      <c r="E389" s="14"/>
      <c r="F389" s="15" t="s">
        <v>24</v>
      </c>
      <c r="G389" s="15" t="s">
        <v>119</v>
      </c>
      <c r="H389" s="15" t="s">
        <v>520</v>
      </c>
      <c r="I389" s="15" t="s">
        <v>101</v>
      </c>
      <c r="J389" s="16">
        <v>45033</v>
      </c>
      <c r="K389" s="16">
        <f t="shared" si="435"/>
        <v>45063</v>
      </c>
      <c r="L389" s="17">
        <v>883000</v>
      </c>
      <c r="M389" s="45">
        <f t="shared" ca="1" si="436"/>
        <v>39</v>
      </c>
      <c r="N389" s="18" t="str">
        <f t="shared" ca="1" si="437"/>
        <v>Муддати тугаган</v>
      </c>
      <c r="O389" s="19">
        <f t="shared" ca="1" si="438"/>
        <v>883000</v>
      </c>
      <c r="P389" s="19">
        <f t="shared" ca="1" si="439"/>
        <v>883000</v>
      </c>
      <c r="Q389" s="19" t="str">
        <f t="shared" ca="1" si="440"/>
        <v/>
      </c>
      <c r="R389" s="19" t="str">
        <f t="shared" ca="1" si="441"/>
        <v xml:space="preserve"> </v>
      </c>
      <c r="S389" s="20"/>
    </row>
    <row r="390" spans="2:19" x14ac:dyDescent="0.2">
      <c r="B390" s="13" t="s">
        <v>457</v>
      </c>
      <c r="C390" s="40">
        <v>302852552</v>
      </c>
      <c r="D390" s="14">
        <v>903028772</v>
      </c>
      <c r="E390" s="14"/>
      <c r="F390" s="15" t="s">
        <v>24</v>
      </c>
      <c r="G390" s="15" t="s">
        <v>174</v>
      </c>
      <c r="H390" s="15" t="s">
        <v>520</v>
      </c>
      <c r="I390" s="15" t="s">
        <v>152</v>
      </c>
      <c r="J390" s="16">
        <v>44998</v>
      </c>
      <c r="K390" s="16">
        <f t="shared" si="435"/>
        <v>45028</v>
      </c>
      <c r="L390" s="17">
        <v>1004050</v>
      </c>
      <c r="M390" s="45">
        <f t="shared" ca="1" si="436"/>
        <v>74</v>
      </c>
      <c r="N390" s="18" t="str">
        <f t="shared" ca="1" si="437"/>
        <v>Муддати тугаган</v>
      </c>
      <c r="O390" s="19">
        <f t="shared" ca="1" si="438"/>
        <v>1004050</v>
      </c>
      <c r="P390" s="19" t="str">
        <f t="shared" ca="1" si="439"/>
        <v/>
      </c>
      <c r="Q390" s="19">
        <f t="shared" ca="1" si="440"/>
        <v>1004050</v>
      </c>
      <c r="R390" s="19" t="str">
        <f t="shared" ca="1" si="441"/>
        <v xml:space="preserve"> </v>
      </c>
      <c r="S390" s="20"/>
    </row>
    <row r="391" spans="2:19" x14ac:dyDescent="0.2">
      <c r="B391" s="13" t="s">
        <v>458</v>
      </c>
      <c r="C391" s="40">
        <v>302341262</v>
      </c>
      <c r="D391" s="14">
        <v>914705599</v>
      </c>
      <c r="E391" s="14"/>
      <c r="F391" s="15" t="s">
        <v>45</v>
      </c>
      <c r="G391" s="15" t="s">
        <v>141</v>
      </c>
      <c r="H391" s="15" t="s">
        <v>520</v>
      </c>
      <c r="I391" s="15" t="s">
        <v>116</v>
      </c>
      <c r="J391" s="16">
        <v>44980</v>
      </c>
      <c r="K391" s="16">
        <f t="shared" si="435"/>
        <v>45010</v>
      </c>
      <c r="L391" s="17">
        <v>12348000</v>
      </c>
      <c r="M391" s="45">
        <f t="shared" ca="1" si="436"/>
        <v>92</v>
      </c>
      <c r="N391" s="18" t="str">
        <f t="shared" ref="N391:N396" ca="1" si="442">IF(M391=0," ",IF(M391&gt;=30,"Муддати тугаган"," "))</f>
        <v>Муддати тугаган</v>
      </c>
      <c r="O391" s="19">
        <f t="shared" ca="1" si="438"/>
        <v>12348000</v>
      </c>
      <c r="P391" s="19" t="str">
        <f t="shared" ca="1" si="439"/>
        <v/>
      </c>
      <c r="Q391" s="19" t="str">
        <f t="shared" ca="1" si="440"/>
        <v/>
      </c>
      <c r="R391" s="19">
        <f t="shared" ca="1" si="441"/>
        <v>12348000</v>
      </c>
      <c r="S391" s="20"/>
    </row>
    <row r="392" spans="2:19" x14ac:dyDescent="0.2">
      <c r="B392" s="13" t="s">
        <v>459</v>
      </c>
      <c r="C392" s="40">
        <v>205161574</v>
      </c>
      <c r="D392" s="14">
        <v>907216818</v>
      </c>
      <c r="E392" s="14"/>
      <c r="F392" s="15" t="s">
        <v>45</v>
      </c>
      <c r="G392" s="15" t="s">
        <v>141</v>
      </c>
      <c r="H392" s="15" t="s">
        <v>520</v>
      </c>
      <c r="I392" s="15" t="s">
        <v>116</v>
      </c>
      <c r="J392" s="16">
        <v>44979</v>
      </c>
      <c r="K392" s="16">
        <f t="shared" ref="K392:K397" si="443">IF(J392&gt;0,J392+30," ")</f>
        <v>45009</v>
      </c>
      <c r="L392" s="17">
        <v>3733500</v>
      </c>
      <c r="M392" s="45">
        <f t="shared" ref="M392:M399" ca="1" si="444">IF(J392&gt;0,(+$B$1-J392),)</f>
        <v>93</v>
      </c>
      <c r="N392" s="18" t="str">
        <f t="shared" ca="1" si="442"/>
        <v>Муддати тугаган</v>
      </c>
      <c r="O392" s="19">
        <f t="shared" ref="O392:O399" ca="1" si="445">IF(M392&gt;=30,L392, " ")</f>
        <v>3733500</v>
      </c>
      <c r="P392" s="19" t="str">
        <f t="shared" ref="P392:P399" ca="1" si="446">IF(M392&gt;60,"",(IF(M392&gt;30,O392, "")))</f>
        <v/>
      </c>
      <c r="Q392" s="19" t="str">
        <f t="shared" ref="Q392:Q399" ca="1" si="447">IF(M392&gt;90,"",(IF(M392&gt;60,O392, "")))</f>
        <v/>
      </c>
      <c r="R392" s="19">
        <f t="shared" ref="R392:R399" ca="1" si="448">IF(M392&gt;90,L392, " ")</f>
        <v>3733500</v>
      </c>
      <c r="S392" s="20"/>
    </row>
    <row r="393" spans="2:19" x14ac:dyDescent="0.2">
      <c r="B393" s="24" t="s">
        <v>461</v>
      </c>
      <c r="C393" s="43">
        <v>307533043</v>
      </c>
      <c r="D393" s="25">
        <v>919092424</v>
      </c>
      <c r="E393" s="14"/>
      <c r="F393" s="26" t="s">
        <v>21</v>
      </c>
      <c r="G393" s="26" t="s">
        <v>95</v>
      </c>
      <c r="H393" s="26" t="s">
        <v>520</v>
      </c>
      <c r="I393" s="26" t="s">
        <v>71</v>
      </c>
      <c r="J393" s="27">
        <v>44083</v>
      </c>
      <c r="K393" s="27">
        <f t="shared" si="443"/>
        <v>44113</v>
      </c>
      <c r="L393" s="37">
        <v>100</v>
      </c>
      <c r="M393" s="46">
        <f t="shared" ca="1" si="444"/>
        <v>989</v>
      </c>
      <c r="N393" s="57" t="str">
        <f t="shared" ca="1" si="442"/>
        <v>Муддати тугаган</v>
      </c>
      <c r="O393" s="29">
        <f t="shared" ca="1" si="445"/>
        <v>100</v>
      </c>
      <c r="P393" s="29" t="str">
        <f t="shared" ca="1" si="446"/>
        <v/>
      </c>
      <c r="Q393" s="29" t="str">
        <f t="shared" ca="1" si="447"/>
        <v/>
      </c>
      <c r="R393" s="29">
        <f t="shared" ca="1" si="448"/>
        <v>100</v>
      </c>
      <c r="S393" s="20"/>
    </row>
    <row r="394" spans="2:19" x14ac:dyDescent="0.2">
      <c r="B394" s="13" t="s">
        <v>281</v>
      </c>
      <c r="C394" s="40">
        <v>309789958</v>
      </c>
      <c r="D394" s="14"/>
      <c r="E394" s="14"/>
      <c r="F394" s="15" t="s">
        <v>64</v>
      </c>
      <c r="G394" s="15" t="s">
        <v>98</v>
      </c>
      <c r="H394" s="15" t="s">
        <v>520</v>
      </c>
      <c r="I394" s="15" t="s">
        <v>282</v>
      </c>
      <c r="J394" s="16">
        <v>44944</v>
      </c>
      <c r="K394" s="16">
        <f t="shared" si="443"/>
        <v>44974</v>
      </c>
      <c r="L394" s="17">
        <v>280000</v>
      </c>
      <c r="M394" s="45">
        <f t="shared" ca="1" si="444"/>
        <v>128</v>
      </c>
      <c r="N394" s="18" t="str">
        <f t="shared" ca="1" si="442"/>
        <v>Муддати тугаган</v>
      </c>
      <c r="O394" s="19">
        <f t="shared" ca="1" si="445"/>
        <v>280000</v>
      </c>
      <c r="P394" s="19" t="str">
        <f t="shared" ca="1" si="446"/>
        <v/>
      </c>
      <c r="Q394" s="19" t="str">
        <f t="shared" ca="1" si="447"/>
        <v/>
      </c>
      <c r="R394" s="19">
        <f t="shared" ca="1" si="448"/>
        <v>280000</v>
      </c>
      <c r="S394" s="20"/>
    </row>
    <row r="395" spans="2:19" x14ac:dyDescent="0.2">
      <c r="B395" s="13" t="s">
        <v>462</v>
      </c>
      <c r="C395" s="40">
        <v>200176740</v>
      </c>
      <c r="D395" s="14">
        <v>911210207</v>
      </c>
      <c r="E395" s="14"/>
      <c r="F395" s="15" t="s">
        <v>24</v>
      </c>
      <c r="G395" s="15" t="s">
        <v>90</v>
      </c>
      <c r="H395" s="15" t="s">
        <v>520</v>
      </c>
      <c r="I395" s="15" t="s">
        <v>91</v>
      </c>
      <c r="J395" s="16">
        <v>45021</v>
      </c>
      <c r="K395" s="16">
        <f t="shared" si="443"/>
        <v>45051</v>
      </c>
      <c r="L395" s="17">
        <v>2368600</v>
      </c>
      <c r="M395" s="45">
        <f t="shared" ca="1" si="444"/>
        <v>51</v>
      </c>
      <c r="N395" s="18" t="str">
        <f t="shared" ca="1" si="442"/>
        <v>Муддати тугаган</v>
      </c>
      <c r="O395" s="19">
        <f t="shared" ca="1" si="445"/>
        <v>2368600</v>
      </c>
      <c r="P395" s="19">
        <f t="shared" ca="1" si="446"/>
        <v>2368600</v>
      </c>
      <c r="Q395" s="19" t="str">
        <f t="shared" ca="1" si="447"/>
        <v/>
      </c>
      <c r="R395" s="19" t="str">
        <f t="shared" ca="1" si="448"/>
        <v xml:space="preserve"> </v>
      </c>
      <c r="S395" s="20"/>
    </row>
    <row r="396" spans="2:19" x14ac:dyDescent="0.2">
      <c r="B396" s="13" t="s">
        <v>462</v>
      </c>
      <c r="C396" s="40">
        <v>200176740</v>
      </c>
      <c r="D396" s="14">
        <v>911210207</v>
      </c>
      <c r="E396" s="14"/>
      <c r="F396" s="15" t="s">
        <v>24</v>
      </c>
      <c r="G396" s="15" t="s">
        <v>90</v>
      </c>
      <c r="H396" s="15" t="s">
        <v>520</v>
      </c>
      <c r="I396" s="15" t="s">
        <v>91</v>
      </c>
      <c r="J396" s="16">
        <v>45042</v>
      </c>
      <c r="K396" s="16">
        <f t="shared" si="443"/>
        <v>45072</v>
      </c>
      <c r="L396" s="17">
        <v>885000</v>
      </c>
      <c r="M396" s="45">
        <f t="shared" ca="1" si="444"/>
        <v>30</v>
      </c>
      <c r="N396" s="18" t="str">
        <f t="shared" ca="1" si="442"/>
        <v>Муддати тугаган</v>
      </c>
      <c r="O396" s="19">
        <f t="shared" ca="1" si="445"/>
        <v>885000</v>
      </c>
      <c r="P396" s="19" t="str">
        <f t="shared" ca="1" si="446"/>
        <v/>
      </c>
      <c r="Q396" s="19" t="str">
        <f t="shared" ca="1" si="447"/>
        <v/>
      </c>
      <c r="R396" s="19" t="str">
        <f t="shared" ca="1" si="448"/>
        <v xml:space="preserve"> </v>
      </c>
      <c r="S396" s="20"/>
    </row>
    <row r="397" spans="2:19" x14ac:dyDescent="0.2">
      <c r="B397" s="13" t="s">
        <v>464</v>
      </c>
      <c r="C397" s="40">
        <v>306739428</v>
      </c>
      <c r="D397" s="14">
        <v>990399492</v>
      </c>
      <c r="E397" s="14"/>
      <c r="F397" s="15" t="s">
        <v>55</v>
      </c>
      <c r="G397" s="15" t="s">
        <v>182</v>
      </c>
      <c r="H397" s="15" t="s">
        <v>520</v>
      </c>
      <c r="I397" s="15" t="s">
        <v>62</v>
      </c>
      <c r="J397" s="16">
        <v>44944</v>
      </c>
      <c r="K397" s="16">
        <f t="shared" si="443"/>
        <v>44974</v>
      </c>
      <c r="L397" s="21">
        <v>3860000</v>
      </c>
      <c r="M397" s="45">
        <f t="shared" ca="1" si="444"/>
        <v>128</v>
      </c>
      <c r="N397" s="18" t="str">
        <f t="shared" ref="N397:N406" ca="1" si="449">IF(M397=0," ",IF(M397&gt;=30,"Муддати тугаган"," "))</f>
        <v>Муддати тугаган</v>
      </c>
      <c r="O397" s="19">
        <f t="shared" ca="1" si="445"/>
        <v>3860000</v>
      </c>
      <c r="P397" s="19" t="str">
        <f t="shared" ca="1" si="446"/>
        <v/>
      </c>
      <c r="Q397" s="19" t="str">
        <f t="shared" ca="1" si="447"/>
        <v/>
      </c>
      <c r="R397" s="19">
        <f t="shared" ca="1" si="448"/>
        <v>3860000</v>
      </c>
      <c r="S397" s="20"/>
    </row>
    <row r="398" spans="2:19" x14ac:dyDescent="0.2">
      <c r="B398" s="13" t="s">
        <v>464</v>
      </c>
      <c r="C398" s="40">
        <v>306739428</v>
      </c>
      <c r="D398" s="14">
        <v>990399492</v>
      </c>
      <c r="E398" s="14"/>
      <c r="F398" s="15" t="s">
        <v>55</v>
      </c>
      <c r="G398" s="15" t="s">
        <v>182</v>
      </c>
      <c r="H398" s="15" t="s">
        <v>520</v>
      </c>
      <c r="I398" s="15" t="s">
        <v>62</v>
      </c>
      <c r="J398" s="16">
        <v>44923</v>
      </c>
      <c r="K398" s="16">
        <f t="shared" ref="K398:K406" si="450">IF(J398&gt;0,J398+30," ")</f>
        <v>44953</v>
      </c>
      <c r="L398" s="21">
        <v>1787600</v>
      </c>
      <c r="M398" s="45">
        <f t="shared" ca="1" si="444"/>
        <v>149</v>
      </c>
      <c r="N398" s="18" t="str">
        <f t="shared" ca="1" si="449"/>
        <v>Муддати тугаган</v>
      </c>
      <c r="O398" s="19">
        <f t="shared" ca="1" si="445"/>
        <v>1787600</v>
      </c>
      <c r="P398" s="19" t="str">
        <f t="shared" ca="1" si="446"/>
        <v/>
      </c>
      <c r="Q398" s="19" t="str">
        <f t="shared" ca="1" si="447"/>
        <v/>
      </c>
      <c r="R398" s="19">
        <f t="shared" ca="1" si="448"/>
        <v>1787600</v>
      </c>
      <c r="S398" s="20"/>
    </row>
    <row r="399" spans="2:19" x14ac:dyDescent="0.2">
      <c r="B399" s="13" t="s">
        <v>562</v>
      </c>
      <c r="C399" s="40">
        <v>306025027</v>
      </c>
      <c r="D399" s="14">
        <v>911939939</v>
      </c>
      <c r="E399" s="14"/>
      <c r="F399" s="15" t="s">
        <v>15</v>
      </c>
      <c r="G399" s="15" t="s">
        <v>190</v>
      </c>
      <c r="H399" s="15" t="s">
        <v>520</v>
      </c>
      <c r="I399" s="15" t="s">
        <v>41</v>
      </c>
      <c r="J399" s="16">
        <v>44994</v>
      </c>
      <c r="K399" s="16">
        <f t="shared" si="450"/>
        <v>45024</v>
      </c>
      <c r="L399" s="17">
        <v>633000</v>
      </c>
      <c r="M399" s="45">
        <f t="shared" ca="1" si="444"/>
        <v>78</v>
      </c>
      <c r="N399" s="18" t="str">
        <f t="shared" ca="1" si="449"/>
        <v>Муддати тугаган</v>
      </c>
      <c r="O399" s="19">
        <f t="shared" ca="1" si="445"/>
        <v>633000</v>
      </c>
      <c r="P399" s="19" t="str">
        <f t="shared" ca="1" si="446"/>
        <v/>
      </c>
      <c r="Q399" s="19">
        <f t="shared" ca="1" si="447"/>
        <v>633000</v>
      </c>
      <c r="R399" s="19" t="str">
        <f t="shared" ca="1" si="448"/>
        <v xml:space="preserve"> </v>
      </c>
      <c r="S399" s="20"/>
    </row>
    <row r="400" spans="2:19" x14ac:dyDescent="0.2">
      <c r="B400" s="13" t="s">
        <v>576</v>
      </c>
      <c r="C400" s="40">
        <v>201093551</v>
      </c>
      <c r="D400" s="14">
        <v>932686222</v>
      </c>
      <c r="E400" s="14"/>
      <c r="F400" s="15" t="s">
        <v>55</v>
      </c>
      <c r="G400" s="15" t="s">
        <v>308</v>
      </c>
      <c r="H400" s="15" t="s">
        <v>520</v>
      </c>
      <c r="I400" s="15" t="s">
        <v>614</v>
      </c>
      <c r="J400" s="16">
        <v>45009</v>
      </c>
      <c r="K400" s="16">
        <f t="shared" si="450"/>
        <v>45039</v>
      </c>
      <c r="L400" s="32">
        <v>1548000</v>
      </c>
      <c r="M400" s="45">
        <f t="shared" ref="M400:M406" ca="1" si="451">IF(J400&gt;0,(+$B$1-J400),)</f>
        <v>63</v>
      </c>
      <c r="N400" s="18" t="str">
        <f t="shared" ca="1" si="449"/>
        <v>Муддати тугаган</v>
      </c>
      <c r="O400" s="19">
        <f t="shared" ref="O400:O406" ca="1" si="452">IF(M400&gt;=30,L400, " ")</f>
        <v>1548000</v>
      </c>
      <c r="P400" s="19" t="str">
        <f t="shared" ref="P400:P406" ca="1" si="453">IF(M400&gt;60,"",(IF(M400&gt;30,O400, "")))</f>
        <v/>
      </c>
      <c r="Q400" s="19">
        <f t="shared" ref="Q400:Q406" ca="1" si="454">IF(M400&gt;90,"",(IF(M400&gt;60,O400, "")))</f>
        <v>1548000</v>
      </c>
      <c r="R400" s="19" t="str">
        <f t="shared" ref="R400:R406" ca="1" si="455">IF(M400&gt;90,L400, " ")</f>
        <v xml:space="preserve"> </v>
      </c>
      <c r="S400" s="20"/>
    </row>
    <row r="401" spans="2:19" x14ac:dyDescent="0.2">
      <c r="B401" s="13" t="s">
        <v>605</v>
      </c>
      <c r="C401" s="40">
        <v>303550628</v>
      </c>
      <c r="D401" s="14">
        <v>909296700</v>
      </c>
      <c r="E401" s="14"/>
      <c r="F401" s="15" t="s">
        <v>13</v>
      </c>
      <c r="G401" s="15" t="s">
        <v>392</v>
      </c>
      <c r="H401" s="15" t="s">
        <v>520</v>
      </c>
      <c r="I401" s="15" t="s">
        <v>555</v>
      </c>
      <c r="J401" s="16">
        <v>45034</v>
      </c>
      <c r="K401" s="16">
        <f t="shared" si="450"/>
        <v>45064</v>
      </c>
      <c r="L401" s="17">
        <v>3350000</v>
      </c>
      <c r="M401" s="45">
        <f t="shared" ca="1" si="451"/>
        <v>38</v>
      </c>
      <c r="N401" s="18" t="str">
        <f t="shared" ca="1" si="449"/>
        <v>Муддати тугаган</v>
      </c>
      <c r="O401" s="19">
        <f t="shared" ca="1" si="452"/>
        <v>3350000</v>
      </c>
      <c r="P401" s="19">
        <f t="shared" ca="1" si="453"/>
        <v>3350000</v>
      </c>
      <c r="Q401" s="19" t="str">
        <f t="shared" ca="1" si="454"/>
        <v/>
      </c>
      <c r="R401" s="19" t="str">
        <f t="shared" ca="1" si="455"/>
        <v xml:space="preserve"> </v>
      </c>
      <c r="S401" s="20"/>
    </row>
    <row r="402" spans="2:19" x14ac:dyDescent="0.2">
      <c r="B402" s="13" t="s">
        <v>465</v>
      </c>
      <c r="C402" s="40">
        <v>308890408</v>
      </c>
      <c r="D402" s="14"/>
      <c r="E402" s="14"/>
      <c r="F402" s="15" t="s">
        <v>55</v>
      </c>
      <c r="G402" s="15" t="s">
        <v>138</v>
      </c>
      <c r="H402" s="15" t="s">
        <v>520</v>
      </c>
      <c r="I402" s="15" t="s">
        <v>57</v>
      </c>
      <c r="J402" s="16">
        <v>44589</v>
      </c>
      <c r="K402" s="16">
        <f t="shared" si="450"/>
        <v>44619</v>
      </c>
      <c r="L402" s="17">
        <f>82016000-18119.52</f>
        <v>81997880.480000004</v>
      </c>
      <c r="M402" s="45">
        <f t="shared" ca="1" si="451"/>
        <v>483</v>
      </c>
      <c r="N402" s="18" t="str">
        <f t="shared" ca="1" si="449"/>
        <v>Муддати тугаган</v>
      </c>
      <c r="O402" s="19">
        <f t="shared" ca="1" si="452"/>
        <v>81997880.480000004</v>
      </c>
      <c r="P402" s="19" t="str">
        <f t="shared" ca="1" si="453"/>
        <v/>
      </c>
      <c r="Q402" s="19" t="str">
        <f t="shared" ca="1" si="454"/>
        <v/>
      </c>
      <c r="R402" s="19">
        <f t="shared" ca="1" si="455"/>
        <v>81997880.480000004</v>
      </c>
      <c r="S402" s="20"/>
    </row>
    <row r="403" spans="2:19" x14ac:dyDescent="0.2">
      <c r="B403" s="13" t="s">
        <v>466</v>
      </c>
      <c r="C403" s="40">
        <v>302089813</v>
      </c>
      <c r="D403" s="14"/>
      <c r="E403" s="14"/>
      <c r="F403" s="15" t="s">
        <v>45</v>
      </c>
      <c r="G403" s="15" t="s">
        <v>104</v>
      </c>
      <c r="H403" s="15" t="s">
        <v>520</v>
      </c>
      <c r="I403" s="15" t="s">
        <v>48</v>
      </c>
      <c r="J403" s="16">
        <v>45015</v>
      </c>
      <c r="K403" s="16">
        <f t="shared" si="450"/>
        <v>45045</v>
      </c>
      <c r="L403" s="17">
        <v>252500</v>
      </c>
      <c r="M403" s="45">
        <f t="shared" ca="1" si="451"/>
        <v>57</v>
      </c>
      <c r="N403" s="18" t="str">
        <f t="shared" ca="1" si="449"/>
        <v>Муддати тугаган</v>
      </c>
      <c r="O403" s="19">
        <f t="shared" ca="1" si="452"/>
        <v>252500</v>
      </c>
      <c r="P403" s="19">
        <f t="shared" ca="1" si="453"/>
        <v>252500</v>
      </c>
      <c r="Q403" s="19" t="str">
        <f t="shared" ca="1" si="454"/>
        <v/>
      </c>
      <c r="R403" s="19" t="str">
        <f t="shared" ca="1" si="455"/>
        <v xml:space="preserve"> </v>
      </c>
      <c r="S403" s="20"/>
    </row>
    <row r="404" spans="2:19" x14ac:dyDescent="0.2">
      <c r="B404" s="13" t="s">
        <v>467</v>
      </c>
      <c r="C404" s="40">
        <v>206191205</v>
      </c>
      <c r="D404" s="14">
        <v>913967700</v>
      </c>
      <c r="E404" s="14"/>
      <c r="F404" s="15" t="s">
        <v>24</v>
      </c>
      <c r="G404" s="15" t="s">
        <v>174</v>
      </c>
      <c r="H404" s="15" t="s">
        <v>520</v>
      </c>
      <c r="I404" s="15" t="s">
        <v>152</v>
      </c>
      <c r="J404" s="16">
        <v>44763</v>
      </c>
      <c r="K404" s="16">
        <f t="shared" si="450"/>
        <v>44793</v>
      </c>
      <c r="L404" s="17">
        <v>542350</v>
      </c>
      <c r="M404" s="45">
        <f t="shared" ca="1" si="451"/>
        <v>309</v>
      </c>
      <c r="N404" s="18" t="str">
        <f t="shared" ca="1" si="449"/>
        <v>Муддати тугаган</v>
      </c>
      <c r="O404" s="19">
        <f t="shared" ca="1" si="452"/>
        <v>542350</v>
      </c>
      <c r="P404" s="19" t="str">
        <f t="shared" ca="1" si="453"/>
        <v/>
      </c>
      <c r="Q404" s="19" t="str">
        <f t="shared" ca="1" si="454"/>
        <v/>
      </c>
      <c r="R404" s="19">
        <f t="shared" ca="1" si="455"/>
        <v>542350</v>
      </c>
      <c r="S404" s="20"/>
    </row>
    <row r="405" spans="2:19" x14ac:dyDescent="0.2">
      <c r="B405" s="13" t="s">
        <v>467</v>
      </c>
      <c r="C405" s="40">
        <v>206191205</v>
      </c>
      <c r="D405" s="14">
        <v>913967700</v>
      </c>
      <c r="E405" s="14"/>
      <c r="F405" s="15" t="s">
        <v>24</v>
      </c>
      <c r="G405" s="15" t="s">
        <v>174</v>
      </c>
      <c r="H405" s="15" t="s">
        <v>520</v>
      </c>
      <c r="I405" s="15" t="s">
        <v>152</v>
      </c>
      <c r="J405" s="16">
        <v>44769</v>
      </c>
      <c r="K405" s="16">
        <f t="shared" si="450"/>
        <v>44799</v>
      </c>
      <c r="L405" s="17">
        <v>1020000</v>
      </c>
      <c r="M405" s="45">
        <f t="shared" ca="1" si="451"/>
        <v>303</v>
      </c>
      <c r="N405" s="18" t="str">
        <f t="shared" ca="1" si="449"/>
        <v>Муддати тугаган</v>
      </c>
      <c r="O405" s="19">
        <f t="shared" ca="1" si="452"/>
        <v>1020000</v>
      </c>
      <c r="P405" s="19" t="str">
        <f t="shared" ca="1" si="453"/>
        <v/>
      </c>
      <c r="Q405" s="19" t="str">
        <f t="shared" ca="1" si="454"/>
        <v/>
      </c>
      <c r="R405" s="19">
        <f t="shared" ca="1" si="455"/>
        <v>1020000</v>
      </c>
      <c r="S405" s="20"/>
    </row>
    <row r="406" spans="2:19" x14ac:dyDescent="0.2">
      <c r="B406" s="13" t="s">
        <v>468</v>
      </c>
      <c r="C406" s="40">
        <v>302981037</v>
      </c>
      <c r="D406" s="14"/>
      <c r="E406" s="14"/>
      <c r="F406" s="15" t="s">
        <v>50</v>
      </c>
      <c r="G406" s="15" t="s">
        <v>272</v>
      </c>
      <c r="H406" s="15" t="s">
        <v>520</v>
      </c>
      <c r="I406" s="15" t="s">
        <v>51</v>
      </c>
      <c r="J406" s="16">
        <v>45030</v>
      </c>
      <c r="K406" s="16">
        <f t="shared" si="450"/>
        <v>45060</v>
      </c>
      <c r="L406" s="17">
        <v>800000</v>
      </c>
      <c r="M406" s="45">
        <f t="shared" ca="1" si="451"/>
        <v>42</v>
      </c>
      <c r="N406" s="18" t="str">
        <f t="shared" ca="1" si="449"/>
        <v>Муддати тугаган</v>
      </c>
      <c r="O406" s="19">
        <f t="shared" ca="1" si="452"/>
        <v>800000</v>
      </c>
      <c r="P406" s="19">
        <f t="shared" ca="1" si="453"/>
        <v>800000</v>
      </c>
      <c r="Q406" s="19" t="str">
        <f t="shared" ca="1" si="454"/>
        <v/>
      </c>
      <c r="R406" s="19" t="str">
        <f t="shared" ca="1" si="455"/>
        <v xml:space="preserve"> </v>
      </c>
      <c r="S406" s="20"/>
    </row>
    <row r="407" spans="2:19" x14ac:dyDescent="0.2">
      <c r="B407" s="13" t="s">
        <v>469</v>
      </c>
      <c r="C407" s="40">
        <v>303240166</v>
      </c>
      <c r="D407" s="14"/>
      <c r="E407" s="14"/>
      <c r="F407" s="15" t="s">
        <v>30</v>
      </c>
      <c r="G407" s="15" t="s">
        <v>162</v>
      </c>
      <c r="H407" s="15" t="s">
        <v>520</v>
      </c>
      <c r="I407" s="15" t="s">
        <v>34</v>
      </c>
      <c r="J407" s="16">
        <v>45033</v>
      </c>
      <c r="K407" s="16">
        <f t="shared" ref="K407:K413" si="456">IF(J407&gt;0,J407+30," ")</f>
        <v>45063</v>
      </c>
      <c r="L407" s="17">
        <v>71830</v>
      </c>
      <c r="M407" s="45">
        <f t="shared" ref="M407:M415" ca="1" si="457">IF(J407&gt;0,(+$B$1-J407),)</f>
        <v>39</v>
      </c>
      <c r="N407" s="18" t="str">
        <f t="shared" ref="N407:N412" ca="1" si="458">IF(M407=0," ",IF(M407&gt;=30,"Муддати тугаган"," "))</f>
        <v>Муддати тугаган</v>
      </c>
      <c r="O407" s="19">
        <f t="shared" ref="O407:O415" ca="1" si="459">IF(M407&gt;=30,L407, " ")</f>
        <v>71830</v>
      </c>
      <c r="P407" s="19">
        <f t="shared" ref="P407:P415" ca="1" si="460">IF(M407&gt;60,"",(IF(M407&gt;30,O407, "")))</f>
        <v>71830</v>
      </c>
      <c r="Q407" s="19" t="str">
        <f t="shared" ref="Q407:Q415" ca="1" si="461">IF(M407&gt;90,"",(IF(M407&gt;60,O407, "")))</f>
        <v/>
      </c>
      <c r="R407" s="19" t="str">
        <f t="shared" ref="R407:R415" ca="1" si="462">IF(M407&gt;90,L407, " ")</f>
        <v xml:space="preserve"> </v>
      </c>
      <c r="S407" s="20"/>
    </row>
    <row r="408" spans="2:19" x14ac:dyDescent="0.2">
      <c r="B408" s="13" t="s">
        <v>470</v>
      </c>
      <c r="C408" s="40">
        <v>306402530</v>
      </c>
      <c r="D408" s="14"/>
      <c r="E408" s="14"/>
      <c r="F408" s="15" t="s">
        <v>15</v>
      </c>
      <c r="G408" s="15" t="s">
        <v>471</v>
      </c>
      <c r="H408" s="15" t="s">
        <v>520</v>
      </c>
      <c r="I408" s="15" t="s">
        <v>41</v>
      </c>
      <c r="J408" s="16">
        <v>44833</v>
      </c>
      <c r="K408" s="16">
        <f t="shared" si="456"/>
        <v>44863</v>
      </c>
      <c r="L408" s="17">
        <v>6845450</v>
      </c>
      <c r="M408" s="45">
        <f t="shared" ca="1" si="457"/>
        <v>239</v>
      </c>
      <c r="N408" s="18" t="str">
        <f t="shared" ca="1" si="458"/>
        <v>Муддати тугаган</v>
      </c>
      <c r="O408" s="19">
        <f t="shared" ca="1" si="459"/>
        <v>6845450</v>
      </c>
      <c r="P408" s="19" t="str">
        <f t="shared" ca="1" si="460"/>
        <v/>
      </c>
      <c r="Q408" s="19" t="str">
        <f t="shared" ca="1" si="461"/>
        <v/>
      </c>
      <c r="R408" s="19">
        <f t="shared" ca="1" si="462"/>
        <v>6845450</v>
      </c>
      <c r="S408" s="20"/>
    </row>
    <row r="409" spans="2:19" x14ac:dyDescent="0.2">
      <c r="B409" s="13" t="s">
        <v>283</v>
      </c>
      <c r="C409" s="40">
        <v>309335184</v>
      </c>
      <c r="D409" s="14">
        <v>996797926</v>
      </c>
      <c r="E409" s="14"/>
      <c r="F409" s="15" t="s">
        <v>64</v>
      </c>
      <c r="G409" s="15" t="s">
        <v>98</v>
      </c>
      <c r="H409" s="15" t="s">
        <v>520</v>
      </c>
      <c r="I409" s="15" t="s">
        <v>282</v>
      </c>
      <c r="J409" s="16">
        <v>44931</v>
      </c>
      <c r="K409" s="16">
        <f t="shared" si="456"/>
        <v>44961</v>
      </c>
      <c r="L409" s="17">
        <v>677900</v>
      </c>
      <c r="M409" s="45">
        <f t="shared" ca="1" si="457"/>
        <v>141</v>
      </c>
      <c r="N409" s="18" t="str">
        <f t="shared" ca="1" si="458"/>
        <v>Муддати тугаган</v>
      </c>
      <c r="O409" s="19">
        <f t="shared" ca="1" si="459"/>
        <v>677900</v>
      </c>
      <c r="P409" s="19" t="str">
        <f t="shared" ca="1" si="460"/>
        <v/>
      </c>
      <c r="Q409" s="19" t="str">
        <f t="shared" ca="1" si="461"/>
        <v/>
      </c>
      <c r="R409" s="19">
        <f t="shared" ca="1" si="462"/>
        <v>677900</v>
      </c>
      <c r="S409" s="20"/>
    </row>
    <row r="410" spans="2:19" x14ac:dyDescent="0.2">
      <c r="B410" s="13" t="s">
        <v>472</v>
      </c>
      <c r="C410" s="40">
        <v>305751344</v>
      </c>
      <c r="D410" s="31">
        <v>983633707</v>
      </c>
      <c r="E410" s="14"/>
      <c r="F410" s="15" t="s">
        <v>13</v>
      </c>
      <c r="G410" s="15" t="s">
        <v>211</v>
      </c>
      <c r="H410" s="15" t="s">
        <v>520</v>
      </c>
      <c r="I410" s="15" t="s">
        <v>167</v>
      </c>
      <c r="J410" s="16">
        <v>44981</v>
      </c>
      <c r="K410" s="16">
        <f t="shared" si="456"/>
        <v>45011</v>
      </c>
      <c r="L410" s="17">
        <v>945000</v>
      </c>
      <c r="M410" s="45">
        <f t="shared" ca="1" si="457"/>
        <v>91</v>
      </c>
      <c r="N410" s="18" t="str">
        <f t="shared" ca="1" si="458"/>
        <v>Муддати тугаган</v>
      </c>
      <c r="O410" s="19">
        <f t="shared" ca="1" si="459"/>
        <v>945000</v>
      </c>
      <c r="P410" s="19" t="str">
        <f t="shared" ca="1" si="460"/>
        <v/>
      </c>
      <c r="Q410" s="19" t="str">
        <f t="shared" ca="1" si="461"/>
        <v/>
      </c>
      <c r="R410" s="19">
        <f t="shared" ca="1" si="462"/>
        <v>945000</v>
      </c>
      <c r="S410" s="20"/>
    </row>
    <row r="411" spans="2:19" x14ac:dyDescent="0.2">
      <c r="B411" s="13" t="s">
        <v>391</v>
      </c>
      <c r="C411" s="40">
        <v>309009146</v>
      </c>
      <c r="D411" s="14">
        <v>981266668</v>
      </c>
      <c r="E411" s="14"/>
      <c r="F411" s="15" t="s">
        <v>13</v>
      </c>
      <c r="G411" s="15" t="s">
        <v>392</v>
      </c>
      <c r="H411" s="15" t="s">
        <v>520</v>
      </c>
      <c r="I411" s="15" t="s">
        <v>555</v>
      </c>
      <c r="J411" s="16">
        <v>45002</v>
      </c>
      <c r="K411" s="16">
        <f t="shared" si="456"/>
        <v>45032</v>
      </c>
      <c r="L411" s="17">
        <v>627160</v>
      </c>
      <c r="M411" s="45">
        <f t="shared" ca="1" si="457"/>
        <v>70</v>
      </c>
      <c r="N411" s="18" t="str">
        <f t="shared" ca="1" si="458"/>
        <v>Муддати тугаган</v>
      </c>
      <c r="O411" s="19">
        <f t="shared" ca="1" si="459"/>
        <v>627160</v>
      </c>
      <c r="P411" s="19" t="str">
        <f t="shared" ca="1" si="460"/>
        <v/>
      </c>
      <c r="Q411" s="19">
        <f t="shared" ca="1" si="461"/>
        <v>627160</v>
      </c>
      <c r="R411" s="19" t="str">
        <f t="shared" ca="1" si="462"/>
        <v xml:space="preserve"> </v>
      </c>
      <c r="S411" s="20"/>
    </row>
    <row r="412" spans="2:19" x14ac:dyDescent="0.2">
      <c r="B412" s="13" t="s">
        <v>473</v>
      </c>
      <c r="C412" s="40">
        <v>302427644</v>
      </c>
      <c r="D412" s="14">
        <v>971212202</v>
      </c>
      <c r="E412" s="14"/>
      <c r="F412" s="15" t="s">
        <v>75</v>
      </c>
      <c r="G412" s="15" t="s">
        <v>75</v>
      </c>
      <c r="H412" s="15" t="s">
        <v>520</v>
      </c>
      <c r="I412" s="15" t="s">
        <v>77</v>
      </c>
      <c r="J412" s="16">
        <v>45034</v>
      </c>
      <c r="K412" s="16">
        <f t="shared" si="456"/>
        <v>45064</v>
      </c>
      <c r="L412" s="17">
        <v>3456750</v>
      </c>
      <c r="M412" s="45">
        <f t="shared" ca="1" si="457"/>
        <v>38</v>
      </c>
      <c r="N412" s="18" t="str">
        <f t="shared" ca="1" si="458"/>
        <v>Муддати тугаган</v>
      </c>
      <c r="O412" s="19">
        <f t="shared" ca="1" si="459"/>
        <v>3456750</v>
      </c>
      <c r="P412" s="19">
        <f t="shared" ca="1" si="460"/>
        <v>3456750</v>
      </c>
      <c r="Q412" s="19" t="str">
        <f t="shared" ca="1" si="461"/>
        <v/>
      </c>
      <c r="R412" s="19" t="str">
        <f t="shared" ca="1" si="462"/>
        <v xml:space="preserve"> </v>
      </c>
      <c r="S412" s="20"/>
    </row>
    <row r="413" spans="2:19" x14ac:dyDescent="0.2">
      <c r="B413" s="13" t="s">
        <v>474</v>
      </c>
      <c r="C413" s="40">
        <v>203130986</v>
      </c>
      <c r="D413" s="14">
        <v>999998929</v>
      </c>
      <c r="E413" s="14"/>
      <c r="F413" s="15" t="s">
        <v>24</v>
      </c>
      <c r="G413" s="15" t="s">
        <v>24</v>
      </c>
      <c r="H413" s="15" t="s">
        <v>520</v>
      </c>
      <c r="I413" s="15" t="s">
        <v>101</v>
      </c>
      <c r="J413" s="16">
        <v>45013</v>
      </c>
      <c r="K413" s="16">
        <f t="shared" si="456"/>
        <v>45043</v>
      </c>
      <c r="L413" s="17">
        <v>100</v>
      </c>
      <c r="M413" s="45">
        <f t="shared" ca="1" si="457"/>
        <v>59</v>
      </c>
      <c r="N413" s="18" t="str">
        <f t="shared" ref="N413:N420" ca="1" si="463">IF(M413=0," ",IF(M413&gt;=30,"Муддати тугаган"," "))</f>
        <v>Муддати тугаган</v>
      </c>
      <c r="O413" s="19">
        <f t="shared" ca="1" si="459"/>
        <v>100</v>
      </c>
      <c r="P413" s="19">
        <f t="shared" ca="1" si="460"/>
        <v>100</v>
      </c>
      <c r="Q413" s="19" t="str">
        <f t="shared" ca="1" si="461"/>
        <v/>
      </c>
      <c r="R413" s="19" t="str">
        <f t="shared" ca="1" si="462"/>
        <v xml:space="preserve"> </v>
      </c>
      <c r="S413" s="20"/>
    </row>
    <row r="414" spans="2:19" x14ac:dyDescent="0.2">
      <c r="B414" s="13" t="s">
        <v>463</v>
      </c>
      <c r="C414" s="40">
        <v>305118647</v>
      </c>
      <c r="D414" s="14">
        <v>932656363</v>
      </c>
      <c r="E414" s="14"/>
      <c r="F414" s="15" t="s">
        <v>55</v>
      </c>
      <c r="G414" s="15" t="s">
        <v>182</v>
      </c>
      <c r="H414" s="15" t="s">
        <v>520</v>
      </c>
      <c r="I414" s="15" t="s">
        <v>62</v>
      </c>
      <c r="J414" s="16">
        <v>44907</v>
      </c>
      <c r="K414" s="16">
        <f t="shared" ref="K414:K420" si="464">IF(J414&gt;0,J414+30," ")</f>
        <v>44937</v>
      </c>
      <c r="L414" s="21">
        <v>1393000</v>
      </c>
      <c r="M414" s="45">
        <f t="shared" ca="1" si="457"/>
        <v>165</v>
      </c>
      <c r="N414" s="18" t="str">
        <f t="shared" ca="1" si="463"/>
        <v>Муддати тугаган</v>
      </c>
      <c r="O414" s="19">
        <f t="shared" ca="1" si="459"/>
        <v>1393000</v>
      </c>
      <c r="P414" s="19" t="str">
        <f t="shared" ca="1" si="460"/>
        <v/>
      </c>
      <c r="Q414" s="19" t="str">
        <f t="shared" ca="1" si="461"/>
        <v/>
      </c>
      <c r="R414" s="19">
        <f t="shared" ca="1" si="462"/>
        <v>1393000</v>
      </c>
      <c r="S414" s="20"/>
    </row>
    <row r="415" spans="2:19" x14ac:dyDescent="0.2">
      <c r="B415" s="13" t="s">
        <v>463</v>
      </c>
      <c r="C415" s="40">
        <v>305118647</v>
      </c>
      <c r="D415" s="14">
        <v>932656363</v>
      </c>
      <c r="E415" s="14"/>
      <c r="F415" s="15" t="s">
        <v>55</v>
      </c>
      <c r="G415" s="15" t="s">
        <v>182</v>
      </c>
      <c r="H415" s="15" t="s">
        <v>520</v>
      </c>
      <c r="I415" s="15" t="s">
        <v>62</v>
      </c>
      <c r="J415" s="16">
        <v>44921</v>
      </c>
      <c r="K415" s="16">
        <f t="shared" si="464"/>
        <v>44951</v>
      </c>
      <c r="L415" s="21">
        <v>1037000</v>
      </c>
      <c r="M415" s="45">
        <f t="shared" ca="1" si="457"/>
        <v>151</v>
      </c>
      <c r="N415" s="18" t="str">
        <f t="shared" ca="1" si="463"/>
        <v>Муддати тугаган</v>
      </c>
      <c r="O415" s="19">
        <f t="shared" ca="1" si="459"/>
        <v>1037000</v>
      </c>
      <c r="P415" s="19" t="str">
        <f t="shared" ca="1" si="460"/>
        <v/>
      </c>
      <c r="Q415" s="19" t="str">
        <f t="shared" ca="1" si="461"/>
        <v/>
      </c>
      <c r="R415" s="19">
        <f t="shared" ca="1" si="462"/>
        <v>1037000</v>
      </c>
      <c r="S415" s="20"/>
    </row>
    <row r="416" spans="2:19" x14ac:dyDescent="0.2">
      <c r="B416" s="13" t="s">
        <v>475</v>
      </c>
      <c r="C416" s="40">
        <v>308201756</v>
      </c>
      <c r="D416" s="14"/>
      <c r="E416" s="14"/>
      <c r="F416" s="15" t="s">
        <v>24</v>
      </c>
      <c r="G416" s="15" t="s">
        <v>90</v>
      </c>
      <c r="H416" s="15" t="s">
        <v>520</v>
      </c>
      <c r="I416" s="15" t="s">
        <v>91</v>
      </c>
      <c r="J416" s="16">
        <v>45041</v>
      </c>
      <c r="K416" s="16">
        <f t="shared" si="464"/>
        <v>45071</v>
      </c>
      <c r="L416" s="17">
        <v>1198500</v>
      </c>
      <c r="M416" s="45">
        <f t="shared" ref="M416:M422" ca="1" si="465">IF(J416&gt;0,(+$B$1-J416),)</f>
        <v>31</v>
      </c>
      <c r="N416" s="18" t="str">
        <f t="shared" ca="1" si="463"/>
        <v>Муддати тугаган</v>
      </c>
      <c r="O416" s="19">
        <f t="shared" ref="O416:O422" ca="1" si="466">IF(M416&gt;=30,L416, " ")</f>
        <v>1198500</v>
      </c>
      <c r="P416" s="19">
        <f t="shared" ref="P416:P422" ca="1" si="467">IF(M416&gt;60,"",(IF(M416&gt;30,O416, "")))</f>
        <v>1198500</v>
      </c>
      <c r="Q416" s="19" t="str">
        <f t="shared" ref="Q416:Q422" ca="1" si="468">IF(M416&gt;90,"",(IF(M416&gt;60,O416, "")))</f>
        <v/>
      </c>
      <c r="R416" s="19" t="str">
        <f t="shared" ref="R416:R422" ca="1" si="469">IF(M416&gt;90,L416, " ")</f>
        <v xml:space="preserve"> </v>
      </c>
      <c r="S416" s="20"/>
    </row>
    <row r="417" spans="2:19" x14ac:dyDescent="0.2">
      <c r="B417" s="13" t="s">
        <v>476</v>
      </c>
      <c r="C417" s="40">
        <v>305716805</v>
      </c>
      <c r="D417" s="14">
        <v>991521341</v>
      </c>
      <c r="E417" s="14"/>
      <c r="F417" s="15" t="s">
        <v>17</v>
      </c>
      <c r="G417" s="15" t="s">
        <v>147</v>
      </c>
      <c r="H417" s="15" t="s">
        <v>520</v>
      </c>
      <c r="I417" s="15" t="s">
        <v>148</v>
      </c>
      <c r="J417" s="16">
        <v>44869</v>
      </c>
      <c r="K417" s="16">
        <f t="shared" si="464"/>
        <v>44899</v>
      </c>
      <c r="L417" s="17">
        <v>5717300</v>
      </c>
      <c r="M417" s="45">
        <f t="shared" ca="1" si="465"/>
        <v>203</v>
      </c>
      <c r="N417" s="18" t="str">
        <f t="shared" ca="1" si="463"/>
        <v>Муддати тугаган</v>
      </c>
      <c r="O417" s="19">
        <f t="shared" ca="1" si="466"/>
        <v>5717300</v>
      </c>
      <c r="P417" s="19" t="str">
        <f t="shared" ca="1" si="467"/>
        <v/>
      </c>
      <c r="Q417" s="19" t="str">
        <f t="shared" ca="1" si="468"/>
        <v/>
      </c>
      <c r="R417" s="19">
        <f t="shared" ca="1" si="469"/>
        <v>5717300</v>
      </c>
      <c r="S417" s="20"/>
    </row>
    <row r="418" spans="2:19" x14ac:dyDescent="0.2">
      <c r="B418" s="13" t="s">
        <v>477</v>
      </c>
      <c r="C418" s="40">
        <v>303912531</v>
      </c>
      <c r="D418" s="30">
        <v>914266993</v>
      </c>
      <c r="E418" s="14"/>
      <c r="F418" s="15" t="s">
        <v>17</v>
      </c>
      <c r="G418" s="15" t="s">
        <v>147</v>
      </c>
      <c r="H418" s="15" t="s">
        <v>520</v>
      </c>
      <c r="I418" s="15" t="s">
        <v>148</v>
      </c>
      <c r="J418" s="16">
        <v>45041</v>
      </c>
      <c r="K418" s="16">
        <f t="shared" si="464"/>
        <v>45071</v>
      </c>
      <c r="L418" s="17">
        <v>1146200</v>
      </c>
      <c r="M418" s="45">
        <f t="shared" ca="1" si="465"/>
        <v>31</v>
      </c>
      <c r="N418" s="18" t="str">
        <f t="shared" ca="1" si="463"/>
        <v>Муддати тугаган</v>
      </c>
      <c r="O418" s="19">
        <f t="shared" ca="1" si="466"/>
        <v>1146200</v>
      </c>
      <c r="P418" s="19">
        <f t="shared" ca="1" si="467"/>
        <v>1146200</v>
      </c>
      <c r="Q418" s="19" t="str">
        <f t="shared" ca="1" si="468"/>
        <v/>
      </c>
      <c r="R418" s="19" t="str">
        <f t="shared" ca="1" si="469"/>
        <v xml:space="preserve"> </v>
      </c>
      <c r="S418" s="20"/>
    </row>
    <row r="419" spans="2:19" x14ac:dyDescent="0.2">
      <c r="B419" s="13" t="s">
        <v>478</v>
      </c>
      <c r="C419" s="40">
        <v>302162407</v>
      </c>
      <c r="D419" s="14"/>
      <c r="E419" s="14"/>
      <c r="F419" s="15" t="s">
        <v>17</v>
      </c>
      <c r="G419" s="15" t="s">
        <v>147</v>
      </c>
      <c r="H419" s="15" t="s">
        <v>520</v>
      </c>
      <c r="I419" s="15" t="s">
        <v>148</v>
      </c>
      <c r="J419" s="16">
        <v>44728</v>
      </c>
      <c r="K419" s="16">
        <f t="shared" si="464"/>
        <v>44758</v>
      </c>
      <c r="L419" s="17">
        <v>5440000</v>
      </c>
      <c r="M419" s="45">
        <f t="shared" ca="1" si="465"/>
        <v>344</v>
      </c>
      <c r="N419" s="18" t="str">
        <f t="shared" ca="1" si="463"/>
        <v>Муддати тугаган</v>
      </c>
      <c r="O419" s="19">
        <f t="shared" ca="1" si="466"/>
        <v>5440000</v>
      </c>
      <c r="P419" s="19" t="str">
        <f t="shared" ca="1" si="467"/>
        <v/>
      </c>
      <c r="Q419" s="19" t="str">
        <f t="shared" ca="1" si="468"/>
        <v/>
      </c>
      <c r="R419" s="19">
        <f t="shared" ca="1" si="469"/>
        <v>5440000</v>
      </c>
      <c r="S419" s="20"/>
    </row>
    <row r="420" spans="2:19" x14ac:dyDescent="0.2">
      <c r="B420" s="13" t="s">
        <v>602</v>
      </c>
      <c r="C420" s="40">
        <v>204676764</v>
      </c>
      <c r="D420" s="14">
        <v>912770199</v>
      </c>
      <c r="E420" s="14"/>
      <c r="F420" s="15" t="s">
        <v>17</v>
      </c>
      <c r="G420" s="15" t="s">
        <v>147</v>
      </c>
      <c r="H420" s="15" t="s">
        <v>520</v>
      </c>
      <c r="I420" s="15" t="s">
        <v>148</v>
      </c>
      <c r="J420" s="16">
        <v>45029</v>
      </c>
      <c r="K420" s="16">
        <f t="shared" si="464"/>
        <v>45059</v>
      </c>
      <c r="L420" s="17">
        <v>2782000</v>
      </c>
      <c r="M420" s="45">
        <f t="shared" ca="1" si="465"/>
        <v>43</v>
      </c>
      <c r="N420" s="18" t="str">
        <f t="shared" ca="1" si="463"/>
        <v>Муддати тугаган</v>
      </c>
      <c r="O420" s="19">
        <f t="shared" ca="1" si="466"/>
        <v>2782000</v>
      </c>
      <c r="P420" s="19">
        <f t="shared" ca="1" si="467"/>
        <v>2782000</v>
      </c>
      <c r="Q420" s="19" t="str">
        <f t="shared" ca="1" si="468"/>
        <v/>
      </c>
      <c r="R420" s="19" t="str">
        <f t="shared" ca="1" si="469"/>
        <v xml:space="preserve"> </v>
      </c>
      <c r="S420" s="20"/>
    </row>
    <row r="421" spans="2:19" x14ac:dyDescent="0.2">
      <c r="B421" s="13" t="s">
        <v>565</v>
      </c>
      <c r="C421" s="40">
        <v>933084021</v>
      </c>
      <c r="D421" s="14"/>
      <c r="E421" s="14"/>
      <c r="F421" s="15" t="s">
        <v>15</v>
      </c>
      <c r="G421" s="15" t="s">
        <v>190</v>
      </c>
      <c r="H421" s="15" t="s">
        <v>520</v>
      </c>
      <c r="I421" s="15" t="s">
        <v>41</v>
      </c>
      <c r="J421" s="16">
        <v>44995</v>
      </c>
      <c r="K421" s="16">
        <f t="shared" ref="K421:K427" si="470">IF(J421&gt;0,J421+30," ")</f>
        <v>45025</v>
      </c>
      <c r="L421" s="17">
        <v>419000</v>
      </c>
      <c r="M421" s="45">
        <f t="shared" ca="1" si="465"/>
        <v>77</v>
      </c>
      <c r="N421" s="18" t="str">
        <f t="shared" ref="N421:N426" ca="1" si="471">IF(M421=0," ",IF(M421&gt;=30,"Муддати тугаган"," "))</f>
        <v>Муддати тугаган</v>
      </c>
      <c r="O421" s="19">
        <f t="shared" ca="1" si="466"/>
        <v>419000</v>
      </c>
      <c r="P421" s="19" t="str">
        <f t="shared" ca="1" si="467"/>
        <v/>
      </c>
      <c r="Q421" s="19">
        <f t="shared" ca="1" si="468"/>
        <v>419000</v>
      </c>
      <c r="R421" s="19" t="str">
        <f t="shared" ca="1" si="469"/>
        <v xml:space="preserve"> </v>
      </c>
      <c r="S421" s="20"/>
    </row>
    <row r="422" spans="2:19" x14ac:dyDescent="0.2">
      <c r="B422" s="24" t="s">
        <v>479</v>
      </c>
      <c r="C422" s="43">
        <v>204180670</v>
      </c>
      <c r="D422" s="75"/>
      <c r="E422" s="14"/>
      <c r="F422" s="26" t="s">
        <v>64</v>
      </c>
      <c r="G422" s="26" t="s">
        <v>163</v>
      </c>
      <c r="H422" s="26" t="s">
        <v>520</v>
      </c>
      <c r="I422" s="26" t="s">
        <v>65</v>
      </c>
      <c r="J422" s="27">
        <v>44392</v>
      </c>
      <c r="K422" s="27">
        <f t="shared" si="470"/>
        <v>44422</v>
      </c>
      <c r="L422" s="37">
        <v>20000000</v>
      </c>
      <c r="M422" s="46">
        <f t="shared" ca="1" si="465"/>
        <v>680</v>
      </c>
      <c r="N422" s="57" t="str">
        <f t="shared" ca="1" si="471"/>
        <v>Муддати тугаган</v>
      </c>
      <c r="O422" s="29">
        <f t="shared" ca="1" si="466"/>
        <v>20000000</v>
      </c>
      <c r="P422" s="29" t="str">
        <f t="shared" ca="1" si="467"/>
        <v/>
      </c>
      <c r="Q422" s="29" t="str">
        <f t="shared" ca="1" si="468"/>
        <v/>
      </c>
      <c r="R422" s="29">
        <f t="shared" ca="1" si="469"/>
        <v>20000000</v>
      </c>
      <c r="S422" s="20"/>
    </row>
    <row r="423" spans="2:19" x14ac:dyDescent="0.2">
      <c r="B423" s="13" t="s">
        <v>480</v>
      </c>
      <c r="C423" s="42">
        <v>309730636</v>
      </c>
      <c r="D423" s="23">
        <v>936147717</v>
      </c>
      <c r="E423" s="14"/>
      <c r="F423" s="15" t="s">
        <v>43</v>
      </c>
      <c r="G423" s="15" t="s">
        <v>131</v>
      </c>
      <c r="H423" s="15" t="s">
        <v>520</v>
      </c>
      <c r="I423" s="15" t="s">
        <v>54</v>
      </c>
      <c r="J423" s="16">
        <v>45041</v>
      </c>
      <c r="K423" s="16">
        <f t="shared" si="470"/>
        <v>45071</v>
      </c>
      <c r="L423" s="17">
        <v>3163025</v>
      </c>
      <c r="M423" s="45">
        <f t="shared" ref="M423:M429" ca="1" si="472">IF(J423&gt;0,(+$B$1-J423),)</f>
        <v>31</v>
      </c>
      <c r="N423" s="18" t="str">
        <f t="shared" ca="1" si="471"/>
        <v>Муддати тугаган</v>
      </c>
      <c r="O423" s="19">
        <f t="shared" ref="O423:O429" ca="1" si="473">IF(M423&gt;=30,L423, " ")</f>
        <v>3163025</v>
      </c>
      <c r="P423" s="19">
        <f t="shared" ref="P423:P429" ca="1" si="474">IF(M423&gt;60,"",(IF(M423&gt;30,O423, "")))</f>
        <v>3163025</v>
      </c>
      <c r="Q423" s="19" t="str">
        <f t="shared" ref="Q423:Q429" ca="1" si="475">IF(M423&gt;90,"",(IF(M423&gt;60,O423, "")))</f>
        <v/>
      </c>
      <c r="R423" s="19" t="str">
        <f t="shared" ref="R423:R429" ca="1" si="476">IF(M423&gt;90,L423, " ")</f>
        <v xml:space="preserve"> </v>
      </c>
      <c r="S423" s="20"/>
    </row>
    <row r="424" spans="2:19" x14ac:dyDescent="0.2">
      <c r="B424" s="13" t="s">
        <v>481</v>
      </c>
      <c r="C424" s="40">
        <v>309064150</v>
      </c>
      <c r="D424" s="14"/>
      <c r="E424" s="14"/>
      <c r="F424" s="15" t="s">
        <v>55</v>
      </c>
      <c r="G424" s="15" t="s">
        <v>182</v>
      </c>
      <c r="H424" s="15" t="s">
        <v>520</v>
      </c>
      <c r="I424" s="15" t="s">
        <v>62</v>
      </c>
      <c r="J424" s="16">
        <v>44881</v>
      </c>
      <c r="K424" s="16">
        <f t="shared" si="470"/>
        <v>44911</v>
      </c>
      <c r="L424" s="21">
        <v>4010400</v>
      </c>
      <c r="M424" s="45">
        <f t="shared" ca="1" si="472"/>
        <v>191</v>
      </c>
      <c r="N424" s="18" t="str">
        <f t="shared" ca="1" si="471"/>
        <v>Муддати тугаган</v>
      </c>
      <c r="O424" s="19">
        <f t="shared" ca="1" si="473"/>
        <v>4010400</v>
      </c>
      <c r="P424" s="19" t="str">
        <f t="shared" ca="1" si="474"/>
        <v/>
      </c>
      <c r="Q424" s="19" t="str">
        <f t="shared" ca="1" si="475"/>
        <v/>
      </c>
      <c r="R424" s="19">
        <f t="shared" ca="1" si="476"/>
        <v>4010400</v>
      </c>
      <c r="S424" s="20"/>
    </row>
    <row r="425" spans="2:19" x14ac:dyDescent="0.2">
      <c r="B425" s="13" t="s">
        <v>482</v>
      </c>
      <c r="C425" s="40">
        <v>302914442</v>
      </c>
      <c r="D425" s="14">
        <v>903109818</v>
      </c>
      <c r="E425" s="14"/>
      <c r="F425" s="15" t="s">
        <v>15</v>
      </c>
      <c r="G425" s="15" t="s">
        <v>15</v>
      </c>
      <c r="H425" s="15" t="s">
        <v>520</v>
      </c>
      <c r="I425" s="15" t="s">
        <v>16</v>
      </c>
      <c r="J425" s="16">
        <v>44917</v>
      </c>
      <c r="K425" s="16">
        <f t="shared" si="470"/>
        <v>44947</v>
      </c>
      <c r="L425" s="17">
        <v>9951250</v>
      </c>
      <c r="M425" s="45">
        <f t="shared" ca="1" si="472"/>
        <v>155</v>
      </c>
      <c r="N425" s="18" t="str">
        <f t="shared" ca="1" si="471"/>
        <v>Муддати тугаган</v>
      </c>
      <c r="O425" s="19">
        <f t="shared" ca="1" si="473"/>
        <v>9951250</v>
      </c>
      <c r="P425" s="19" t="str">
        <f t="shared" ca="1" si="474"/>
        <v/>
      </c>
      <c r="Q425" s="19" t="str">
        <f t="shared" ca="1" si="475"/>
        <v/>
      </c>
      <c r="R425" s="19">
        <f t="shared" ca="1" si="476"/>
        <v>9951250</v>
      </c>
      <c r="S425" s="20"/>
    </row>
    <row r="426" spans="2:19" x14ac:dyDescent="0.2">
      <c r="B426" s="13" t="s">
        <v>599</v>
      </c>
      <c r="C426" s="40">
        <v>207096456</v>
      </c>
      <c r="D426" s="14">
        <v>903385005</v>
      </c>
      <c r="E426" s="14"/>
      <c r="F426" s="15" t="s">
        <v>526</v>
      </c>
      <c r="G426" s="15" t="s">
        <v>166</v>
      </c>
      <c r="H426" s="15" t="s">
        <v>508</v>
      </c>
      <c r="I426" s="15" t="s">
        <v>513</v>
      </c>
      <c r="J426" s="16">
        <v>44977</v>
      </c>
      <c r="K426" s="16">
        <f t="shared" si="470"/>
        <v>45007</v>
      </c>
      <c r="L426" s="17">
        <v>200000</v>
      </c>
      <c r="M426" s="45">
        <f t="shared" ca="1" si="472"/>
        <v>95</v>
      </c>
      <c r="N426" s="18" t="str">
        <f t="shared" ca="1" si="471"/>
        <v>Муддати тугаган</v>
      </c>
      <c r="O426" s="19">
        <f t="shared" ca="1" si="473"/>
        <v>200000</v>
      </c>
      <c r="P426" s="19" t="str">
        <f t="shared" ca="1" si="474"/>
        <v/>
      </c>
      <c r="Q426" s="19" t="str">
        <f t="shared" ca="1" si="475"/>
        <v/>
      </c>
      <c r="R426" s="19">
        <f t="shared" ca="1" si="476"/>
        <v>200000</v>
      </c>
      <c r="S426" s="20"/>
    </row>
    <row r="427" spans="2:19" x14ac:dyDescent="0.2">
      <c r="B427" s="13" t="s">
        <v>483</v>
      </c>
      <c r="C427" s="40">
        <v>306056677</v>
      </c>
      <c r="D427" s="14">
        <v>973613732</v>
      </c>
      <c r="E427" s="14"/>
      <c r="F427" s="15" t="s">
        <v>17</v>
      </c>
      <c r="G427" s="15" t="s">
        <v>309</v>
      </c>
      <c r="H427" s="15" t="s">
        <v>520</v>
      </c>
      <c r="I427" s="15" t="s">
        <v>260</v>
      </c>
      <c r="J427" s="16">
        <v>44910</v>
      </c>
      <c r="K427" s="16">
        <f t="shared" si="470"/>
        <v>44940</v>
      </c>
      <c r="L427" s="21">
        <v>8740200</v>
      </c>
      <c r="M427" s="45">
        <f t="shared" ca="1" si="472"/>
        <v>162</v>
      </c>
      <c r="N427" s="18" t="str">
        <f t="shared" ref="N427:N437" ca="1" si="477">IF(M427=0," ",IF(M427&gt;=30,"Муддати тугаган"," "))</f>
        <v>Муддати тугаган</v>
      </c>
      <c r="O427" s="19">
        <f t="shared" ca="1" si="473"/>
        <v>8740200</v>
      </c>
      <c r="P427" s="19" t="str">
        <f t="shared" ca="1" si="474"/>
        <v/>
      </c>
      <c r="Q427" s="19" t="str">
        <f t="shared" ca="1" si="475"/>
        <v/>
      </c>
      <c r="R427" s="19">
        <f t="shared" ca="1" si="476"/>
        <v>8740200</v>
      </c>
      <c r="S427" s="20"/>
    </row>
    <row r="428" spans="2:19" x14ac:dyDescent="0.2">
      <c r="B428" s="13" t="s">
        <v>484</v>
      </c>
      <c r="C428" s="40">
        <v>302697491</v>
      </c>
      <c r="D428" s="14">
        <v>913450151</v>
      </c>
      <c r="E428" s="14"/>
      <c r="F428" s="15" t="s">
        <v>55</v>
      </c>
      <c r="G428" s="15" t="s">
        <v>182</v>
      </c>
      <c r="H428" s="15" t="s">
        <v>520</v>
      </c>
      <c r="I428" s="15" t="s">
        <v>62</v>
      </c>
      <c r="J428" s="16">
        <v>44817</v>
      </c>
      <c r="K428" s="16">
        <f t="shared" ref="K428:K437" si="478">IF(J428&gt;0,J428+30," ")</f>
        <v>44847</v>
      </c>
      <c r="L428" s="17">
        <v>2485700</v>
      </c>
      <c r="M428" s="45">
        <f t="shared" ca="1" si="472"/>
        <v>255</v>
      </c>
      <c r="N428" s="18" t="str">
        <f t="shared" ca="1" si="477"/>
        <v>Муддати тугаган</v>
      </c>
      <c r="O428" s="19">
        <f t="shared" ca="1" si="473"/>
        <v>2485700</v>
      </c>
      <c r="P428" s="19" t="str">
        <f t="shared" ca="1" si="474"/>
        <v/>
      </c>
      <c r="Q428" s="19" t="str">
        <f t="shared" ca="1" si="475"/>
        <v/>
      </c>
      <c r="R428" s="19">
        <f t="shared" ca="1" si="476"/>
        <v>2485700</v>
      </c>
      <c r="S428" s="20"/>
    </row>
    <row r="429" spans="2:19" x14ac:dyDescent="0.2">
      <c r="B429" s="13" t="s">
        <v>484</v>
      </c>
      <c r="C429" s="40">
        <v>302697491</v>
      </c>
      <c r="D429" s="14">
        <v>913450151</v>
      </c>
      <c r="E429" s="14"/>
      <c r="F429" s="15" t="s">
        <v>55</v>
      </c>
      <c r="G429" s="15" t="s">
        <v>182</v>
      </c>
      <c r="H429" s="15" t="s">
        <v>520</v>
      </c>
      <c r="I429" s="15" t="s">
        <v>62</v>
      </c>
      <c r="J429" s="16">
        <v>44796</v>
      </c>
      <c r="K429" s="16">
        <f t="shared" si="478"/>
        <v>44826</v>
      </c>
      <c r="L429" s="17">
        <v>810200</v>
      </c>
      <c r="M429" s="45">
        <f t="shared" ca="1" si="472"/>
        <v>276</v>
      </c>
      <c r="N429" s="18" t="str">
        <f t="shared" ca="1" si="477"/>
        <v>Муддати тугаган</v>
      </c>
      <c r="O429" s="19">
        <f t="shared" ca="1" si="473"/>
        <v>810200</v>
      </c>
      <c r="P429" s="19" t="str">
        <f t="shared" ca="1" si="474"/>
        <v/>
      </c>
      <c r="Q429" s="19" t="str">
        <f t="shared" ca="1" si="475"/>
        <v/>
      </c>
      <c r="R429" s="19">
        <f t="shared" ca="1" si="476"/>
        <v>810200</v>
      </c>
      <c r="S429" s="20"/>
    </row>
    <row r="430" spans="2:19" x14ac:dyDescent="0.2">
      <c r="B430" s="13" t="s">
        <v>485</v>
      </c>
      <c r="C430" s="40">
        <v>305088194</v>
      </c>
      <c r="D430" s="14">
        <v>992657755</v>
      </c>
      <c r="E430" s="14"/>
      <c r="F430" s="15" t="s">
        <v>36</v>
      </c>
      <c r="G430" s="15" t="s">
        <v>136</v>
      </c>
      <c r="H430" s="15" t="s">
        <v>520</v>
      </c>
      <c r="I430" s="15" t="s">
        <v>37</v>
      </c>
      <c r="J430" s="16">
        <v>44932</v>
      </c>
      <c r="K430" s="16">
        <f t="shared" si="478"/>
        <v>44962</v>
      </c>
      <c r="L430" s="17">
        <v>534000</v>
      </c>
      <c r="M430" s="45">
        <f t="shared" ref="M430:M437" ca="1" si="479">IF(J430&gt;0,(+$B$1-J430),)</f>
        <v>140</v>
      </c>
      <c r="N430" s="18" t="str">
        <f t="shared" ca="1" si="477"/>
        <v>Муддати тугаган</v>
      </c>
      <c r="O430" s="19">
        <f t="shared" ref="O430:O437" ca="1" si="480">IF(M430&gt;=30,L430, " ")</f>
        <v>534000</v>
      </c>
      <c r="P430" s="19" t="str">
        <f t="shared" ref="P430:P437" ca="1" si="481">IF(M430&gt;60,"",(IF(M430&gt;30,O430, "")))</f>
        <v/>
      </c>
      <c r="Q430" s="19" t="str">
        <f t="shared" ref="Q430:Q437" ca="1" si="482">IF(M430&gt;90,"",(IF(M430&gt;60,O430, "")))</f>
        <v/>
      </c>
      <c r="R430" s="19">
        <f t="shared" ref="R430:R437" ca="1" si="483">IF(M430&gt;90,L430, " ")</f>
        <v>534000</v>
      </c>
      <c r="S430" s="20"/>
    </row>
    <row r="431" spans="2:19" x14ac:dyDescent="0.2">
      <c r="B431" s="13" t="s">
        <v>485</v>
      </c>
      <c r="C431" s="40">
        <v>305088194</v>
      </c>
      <c r="D431" s="14">
        <v>992657755</v>
      </c>
      <c r="E431" s="14"/>
      <c r="F431" s="15" t="s">
        <v>36</v>
      </c>
      <c r="G431" s="15" t="s">
        <v>136</v>
      </c>
      <c r="H431" s="15" t="s">
        <v>520</v>
      </c>
      <c r="I431" s="15" t="s">
        <v>37</v>
      </c>
      <c r="J431" s="16">
        <v>44904</v>
      </c>
      <c r="K431" s="16">
        <f t="shared" si="478"/>
        <v>44934</v>
      </c>
      <c r="L431" s="17">
        <v>599500</v>
      </c>
      <c r="M431" s="45">
        <f t="shared" ca="1" si="479"/>
        <v>168</v>
      </c>
      <c r="N431" s="18" t="str">
        <f t="shared" ca="1" si="477"/>
        <v>Муддати тугаган</v>
      </c>
      <c r="O431" s="19">
        <f t="shared" ca="1" si="480"/>
        <v>599500</v>
      </c>
      <c r="P431" s="19" t="str">
        <f t="shared" ca="1" si="481"/>
        <v/>
      </c>
      <c r="Q431" s="19" t="str">
        <f t="shared" ca="1" si="482"/>
        <v/>
      </c>
      <c r="R431" s="19">
        <f t="shared" ca="1" si="483"/>
        <v>599500</v>
      </c>
      <c r="S431" s="20"/>
    </row>
    <row r="432" spans="2:19" x14ac:dyDescent="0.2">
      <c r="B432" s="13" t="s">
        <v>486</v>
      </c>
      <c r="C432" s="40">
        <v>303412473</v>
      </c>
      <c r="D432" s="14">
        <v>990019200</v>
      </c>
      <c r="E432" s="14"/>
      <c r="F432" s="15" t="s">
        <v>30</v>
      </c>
      <c r="G432" s="15" t="s">
        <v>289</v>
      </c>
      <c r="H432" s="15" t="s">
        <v>520</v>
      </c>
      <c r="I432" s="15" t="s">
        <v>35</v>
      </c>
      <c r="J432" s="16">
        <v>44580</v>
      </c>
      <c r="K432" s="16">
        <f t="shared" si="478"/>
        <v>44610</v>
      </c>
      <c r="L432" s="17">
        <v>1479500</v>
      </c>
      <c r="M432" s="45">
        <f t="shared" ca="1" si="479"/>
        <v>492</v>
      </c>
      <c r="N432" s="18" t="str">
        <f t="shared" ca="1" si="477"/>
        <v>Муддати тугаган</v>
      </c>
      <c r="O432" s="19">
        <f t="shared" ca="1" si="480"/>
        <v>1479500</v>
      </c>
      <c r="P432" s="19" t="str">
        <f t="shared" ca="1" si="481"/>
        <v/>
      </c>
      <c r="Q432" s="19" t="str">
        <f t="shared" ca="1" si="482"/>
        <v/>
      </c>
      <c r="R432" s="19">
        <f t="shared" ca="1" si="483"/>
        <v>1479500</v>
      </c>
      <c r="S432" s="20"/>
    </row>
    <row r="433" spans="2:19" x14ac:dyDescent="0.2">
      <c r="B433" s="13" t="s">
        <v>487</v>
      </c>
      <c r="C433" s="40">
        <v>309169763</v>
      </c>
      <c r="D433" s="14">
        <v>995013111</v>
      </c>
      <c r="E433" s="14"/>
      <c r="F433" s="15" t="s">
        <v>17</v>
      </c>
      <c r="G433" s="15" t="s">
        <v>18</v>
      </c>
      <c r="H433" s="15" t="s">
        <v>520</v>
      </c>
      <c r="I433" s="15" t="s">
        <v>19</v>
      </c>
      <c r="J433" s="16">
        <v>44844</v>
      </c>
      <c r="K433" s="16">
        <f t="shared" si="478"/>
        <v>44874</v>
      </c>
      <c r="L433" s="17">
        <v>1005200</v>
      </c>
      <c r="M433" s="45">
        <f t="shared" ca="1" si="479"/>
        <v>228</v>
      </c>
      <c r="N433" s="18" t="str">
        <f t="shared" ca="1" si="477"/>
        <v>Муддати тугаган</v>
      </c>
      <c r="O433" s="19">
        <f t="shared" ca="1" si="480"/>
        <v>1005200</v>
      </c>
      <c r="P433" s="19" t="str">
        <f t="shared" ca="1" si="481"/>
        <v/>
      </c>
      <c r="Q433" s="19" t="str">
        <f t="shared" ca="1" si="482"/>
        <v/>
      </c>
      <c r="R433" s="19">
        <f t="shared" ca="1" si="483"/>
        <v>1005200</v>
      </c>
      <c r="S433" s="20"/>
    </row>
    <row r="434" spans="2:19" x14ac:dyDescent="0.2">
      <c r="B434" s="24" t="s">
        <v>488</v>
      </c>
      <c r="C434" s="43">
        <v>207126931</v>
      </c>
      <c r="D434" s="25">
        <v>981262656</v>
      </c>
      <c r="E434" s="14"/>
      <c r="F434" s="26" t="s">
        <v>13</v>
      </c>
      <c r="G434" s="26" t="s">
        <v>133</v>
      </c>
      <c r="H434" s="26" t="s">
        <v>520</v>
      </c>
      <c r="I434" s="26" t="s">
        <v>489</v>
      </c>
      <c r="J434" s="27">
        <v>44103</v>
      </c>
      <c r="K434" s="27">
        <f t="shared" si="478"/>
        <v>44133</v>
      </c>
      <c r="L434" s="37">
        <v>3000</v>
      </c>
      <c r="M434" s="46">
        <f t="shared" ca="1" si="479"/>
        <v>969</v>
      </c>
      <c r="N434" s="57" t="str">
        <f t="shared" ca="1" si="477"/>
        <v>Муддати тугаган</v>
      </c>
      <c r="O434" s="29">
        <f t="shared" ca="1" si="480"/>
        <v>3000</v>
      </c>
      <c r="P434" s="29" t="str">
        <f t="shared" ca="1" si="481"/>
        <v/>
      </c>
      <c r="Q434" s="29" t="str">
        <f t="shared" ca="1" si="482"/>
        <v/>
      </c>
      <c r="R434" s="29">
        <f t="shared" ca="1" si="483"/>
        <v>3000</v>
      </c>
      <c r="S434" s="20"/>
    </row>
    <row r="435" spans="2:19" x14ac:dyDescent="0.2">
      <c r="B435" s="13" t="s">
        <v>492</v>
      </c>
      <c r="C435" s="40">
        <v>300460647</v>
      </c>
      <c r="D435" s="14">
        <v>979900284</v>
      </c>
      <c r="E435" s="14"/>
      <c r="F435" s="15" t="s">
        <v>30</v>
      </c>
      <c r="G435" s="15" t="s">
        <v>493</v>
      </c>
      <c r="H435" s="15" t="s">
        <v>520</v>
      </c>
      <c r="I435" s="15" t="s">
        <v>346</v>
      </c>
      <c r="J435" s="16">
        <v>44847</v>
      </c>
      <c r="K435" s="16">
        <f t="shared" si="478"/>
        <v>44877</v>
      </c>
      <c r="L435" s="21">
        <v>1124100</v>
      </c>
      <c r="M435" s="45">
        <f t="shared" ca="1" si="479"/>
        <v>225</v>
      </c>
      <c r="N435" s="18" t="str">
        <f t="shared" ca="1" si="477"/>
        <v>Муддати тугаган</v>
      </c>
      <c r="O435" s="19">
        <f t="shared" ca="1" si="480"/>
        <v>1124100</v>
      </c>
      <c r="P435" s="19" t="str">
        <f t="shared" ca="1" si="481"/>
        <v/>
      </c>
      <c r="Q435" s="19" t="str">
        <f t="shared" ca="1" si="482"/>
        <v/>
      </c>
      <c r="R435" s="19">
        <f t="shared" ca="1" si="483"/>
        <v>1124100</v>
      </c>
      <c r="S435" s="20"/>
    </row>
    <row r="436" spans="2:19" x14ac:dyDescent="0.2">
      <c r="B436" s="13" t="s">
        <v>492</v>
      </c>
      <c r="C436" s="40">
        <v>300460647</v>
      </c>
      <c r="D436" s="14">
        <v>979900284</v>
      </c>
      <c r="E436" s="14"/>
      <c r="F436" s="15" t="s">
        <v>30</v>
      </c>
      <c r="G436" s="15" t="s">
        <v>493</v>
      </c>
      <c r="H436" s="15" t="s">
        <v>520</v>
      </c>
      <c r="I436" s="15" t="s">
        <v>346</v>
      </c>
      <c r="J436" s="16">
        <v>44862</v>
      </c>
      <c r="K436" s="16">
        <f t="shared" si="478"/>
        <v>44892</v>
      </c>
      <c r="L436" s="21">
        <v>1124100</v>
      </c>
      <c r="M436" s="45">
        <f t="shared" ca="1" si="479"/>
        <v>210</v>
      </c>
      <c r="N436" s="18" t="str">
        <f t="shared" ca="1" si="477"/>
        <v>Муддати тугаган</v>
      </c>
      <c r="O436" s="19">
        <f t="shared" ca="1" si="480"/>
        <v>1124100</v>
      </c>
      <c r="P436" s="19" t="str">
        <f t="shared" ca="1" si="481"/>
        <v/>
      </c>
      <c r="Q436" s="19" t="str">
        <f t="shared" ca="1" si="482"/>
        <v/>
      </c>
      <c r="R436" s="19">
        <f t="shared" ca="1" si="483"/>
        <v>1124100</v>
      </c>
      <c r="S436" s="20"/>
    </row>
    <row r="437" spans="2:19" x14ac:dyDescent="0.2">
      <c r="B437" s="13" t="s">
        <v>494</v>
      </c>
      <c r="C437" s="40">
        <v>206988937</v>
      </c>
      <c r="D437" s="14">
        <v>998586800</v>
      </c>
      <c r="E437" s="14"/>
      <c r="F437" s="15" t="s">
        <v>13</v>
      </c>
      <c r="G437" s="15" t="s">
        <v>199</v>
      </c>
      <c r="H437" s="15" t="s">
        <v>520</v>
      </c>
      <c r="I437" s="15" t="s">
        <v>122</v>
      </c>
      <c r="J437" s="16">
        <v>45035</v>
      </c>
      <c r="K437" s="16">
        <f t="shared" si="478"/>
        <v>45065</v>
      </c>
      <c r="L437" s="21">
        <v>13494500</v>
      </c>
      <c r="M437" s="45">
        <f t="shared" ca="1" si="479"/>
        <v>37</v>
      </c>
      <c r="N437" s="18" t="str">
        <f t="shared" ca="1" si="477"/>
        <v>Муддати тугаган</v>
      </c>
      <c r="O437" s="19">
        <f t="shared" ca="1" si="480"/>
        <v>13494500</v>
      </c>
      <c r="P437" s="19">
        <f t="shared" ca="1" si="481"/>
        <v>13494500</v>
      </c>
      <c r="Q437" s="19" t="str">
        <f t="shared" ca="1" si="482"/>
        <v/>
      </c>
      <c r="R437" s="19" t="str">
        <f t="shared" ca="1" si="483"/>
        <v xml:space="preserve"> </v>
      </c>
      <c r="S437" s="20"/>
    </row>
    <row r="438" spans="2:19" x14ac:dyDescent="0.2">
      <c r="B438" s="33" t="s">
        <v>495</v>
      </c>
      <c r="C438" s="41">
        <v>200069295</v>
      </c>
      <c r="D438" s="14">
        <v>990117500</v>
      </c>
      <c r="E438" s="14"/>
      <c r="F438" s="15" t="s">
        <v>55</v>
      </c>
      <c r="G438" s="15" t="s">
        <v>182</v>
      </c>
      <c r="H438" s="15" t="s">
        <v>520</v>
      </c>
      <c r="I438" s="15" t="s">
        <v>62</v>
      </c>
      <c r="J438" s="16">
        <v>44992</v>
      </c>
      <c r="K438" s="16">
        <f t="shared" ref="K438:K444" si="484">IF(J438&gt;0,J438+30," ")</f>
        <v>45022</v>
      </c>
      <c r="L438" s="17">
        <v>3498700</v>
      </c>
      <c r="M438" s="45">
        <f t="shared" ref="M438:M445" ca="1" si="485">IF(J438&gt;0,(+$B$1-J438),)</f>
        <v>80</v>
      </c>
      <c r="N438" s="18" t="str">
        <f t="shared" ref="N438:N444" ca="1" si="486">IF(M438=0," ",IF(M438&gt;=30,"Муддати тугаган"," "))</f>
        <v>Муддати тугаган</v>
      </c>
      <c r="O438" s="19">
        <f t="shared" ref="O438:O445" ca="1" si="487">IF(M438&gt;=30,L438, " ")</f>
        <v>3498700</v>
      </c>
      <c r="P438" s="19" t="str">
        <f t="shared" ref="P438:P445" ca="1" si="488">IF(M438&gt;60,"",(IF(M438&gt;30,O438, "")))</f>
        <v/>
      </c>
      <c r="Q438" s="19">
        <f t="shared" ref="Q438:Q445" ca="1" si="489">IF(M438&gt;90,"",(IF(M438&gt;60,O438, "")))</f>
        <v>3498700</v>
      </c>
      <c r="R438" s="19" t="str">
        <f t="shared" ref="R438:R445" ca="1" si="490">IF(M438&gt;90,L438, " ")</f>
        <v xml:space="preserve"> </v>
      </c>
      <c r="S438" s="20"/>
    </row>
    <row r="439" spans="2:19" x14ac:dyDescent="0.2">
      <c r="B439" s="13" t="s">
        <v>498</v>
      </c>
      <c r="C439" s="40">
        <v>200252963</v>
      </c>
      <c r="D439" s="14"/>
      <c r="E439" s="14"/>
      <c r="F439" s="15" t="s">
        <v>30</v>
      </c>
      <c r="G439" s="15" t="s">
        <v>497</v>
      </c>
      <c r="H439" s="15" t="s">
        <v>520</v>
      </c>
      <c r="I439" s="15" t="s">
        <v>491</v>
      </c>
      <c r="J439" s="16">
        <v>45041</v>
      </c>
      <c r="K439" s="16">
        <f t="shared" si="484"/>
        <v>45071</v>
      </c>
      <c r="L439" s="32">
        <v>187385</v>
      </c>
      <c r="M439" s="45">
        <f t="shared" ca="1" si="485"/>
        <v>31</v>
      </c>
      <c r="N439" s="18" t="str">
        <f t="shared" ca="1" si="486"/>
        <v>Муддати тугаган</v>
      </c>
      <c r="O439" s="19">
        <f t="shared" ca="1" si="487"/>
        <v>187385</v>
      </c>
      <c r="P439" s="19">
        <f t="shared" ca="1" si="488"/>
        <v>187385</v>
      </c>
      <c r="Q439" s="19" t="str">
        <f t="shared" ca="1" si="489"/>
        <v/>
      </c>
      <c r="R439" s="19" t="str">
        <f t="shared" ca="1" si="490"/>
        <v xml:space="preserve"> </v>
      </c>
      <c r="S439" s="20"/>
    </row>
    <row r="440" spans="2:19" x14ac:dyDescent="0.2">
      <c r="B440" s="13" t="s">
        <v>176</v>
      </c>
      <c r="C440" s="40">
        <v>203643141</v>
      </c>
      <c r="D440" s="14">
        <v>935904606</v>
      </c>
      <c r="E440" s="14"/>
      <c r="F440" s="15" t="s">
        <v>21</v>
      </c>
      <c r="G440" s="15" t="s">
        <v>177</v>
      </c>
      <c r="H440" s="15" t="s">
        <v>520</v>
      </c>
      <c r="I440" s="15" t="s">
        <v>74</v>
      </c>
      <c r="J440" s="16">
        <v>44935</v>
      </c>
      <c r="K440" s="16">
        <f t="shared" si="484"/>
        <v>44965</v>
      </c>
      <c r="L440" s="17">
        <v>2100900</v>
      </c>
      <c r="M440" s="45">
        <f t="shared" ca="1" si="485"/>
        <v>137</v>
      </c>
      <c r="N440" s="18" t="str">
        <f t="shared" ca="1" si="486"/>
        <v>Муддати тугаган</v>
      </c>
      <c r="O440" s="19">
        <f t="shared" ca="1" si="487"/>
        <v>2100900</v>
      </c>
      <c r="P440" s="19" t="str">
        <f t="shared" ca="1" si="488"/>
        <v/>
      </c>
      <c r="Q440" s="19" t="str">
        <f t="shared" ca="1" si="489"/>
        <v/>
      </c>
      <c r="R440" s="19">
        <f t="shared" ca="1" si="490"/>
        <v>2100900</v>
      </c>
      <c r="S440" s="20"/>
    </row>
    <row r="441" spans="2:19" x14ac:dyDescent="0.2">
      <c r="B441" s="13" t="s">
        <v>499</v>
      </c>
      <c r="C441" s="40">
        <v>303091068</v>
      </c>
      <c r="D441" s="14">
        <v>995377702</v>
      </c>
      <c r="E441" s="14"/>
      <c r="F441" s="15" t="s">
        <v>75</v>
      </c>
      <c r="G441" s="15" t="s">
        <v>144</v>
      </c>
      <c r="H441" s="15" t="s">
        <v>520</v>
      </c>
      <c r="I441" s="15" t="s">
        <v>76</v>
      </c>
      <c r="J441" s="16">
        <v>44972</v>
      </c>
      <c r="K441" s="16">
        <f t="shared" si="484"/>
        <v>45002</v>
      </c>
      <c r="L441" s="21">
        <v>1788250</v>
      </c>
      <c r="M441" s="45">
        <f t="shared" ca="1" si="485"/>
        <v>100</v>
      </c>
      <c r="N441" s="18" t="str">
        <f t="shared" ca="1" si="486"/>
        <v>Муддати тугаган</v>
      </c>
      <c r="O441" s="19">
        <f t="shared" ca="1" si="487"/>
        <v>1788250</v>
      </c>
      <c r="P441" s="19" t="str">
        <f t="shared" ca="1" si="488"/>
        <v/>
      </c>
      <c r="Q441" s="19" t="str">
        <f t="shared" ca="1" si="489"/>
        <v/>
      </c>
      <c r="R441" s="19">
        <f t="shared" ca="1" si="490"/>
        <v>1788250</v>
      </c>
      <c r="S441" s="20"/>
    </row>
    <row r="442" spans="2:19" x14ac:dyDescent="0.2">
      <c r="B442" s="13" t="s">
        <v>499</v>
      </c>
      <c r="C442" s="40">
        <v>303091068</v>
      </c>
      <c r="D442" s="14">
        <v>995377702</v>
      </c>
      <c r="E442" s="14"/>
      <c r="F442" s="15" t="s">
        <v>75</v>
      </c>
      <c r="G442" s="15" t="s">
        <v>144</v>
      </c>
      <c r="H442" s="15" t="s">
        <v>520</v>
      </c>
      <c r="I442" s="15" t="s">
        <v>76</v>
      </c>
      <c r="J442" s="16">
        <v>44988</v>
      </c>
      <c r="K442" s="16">
        <f t="shared" si="484"/>
        <v>45018</v>
      </c>
      <c r="L442" s="21">
        <v>1660000</v>
      </c>
      <c r="M442" s="45">
        <f t="shared" ca="1" si="485"/>
        <v>84</v>
      </c>
      <c r="N442" s="18" t="str">
        <f t="shared" ca="1" si="486"/>
        <v>Муддати тугаган</v>
      </c>
      <c r="O442" s="19">
        <f t="shared" ca="1" si="487"/>
        <v>1660000</v>
      </c>
      <c r="P442" s="19" t="str">
        <f t="shared" ca="1" si="488"/>
        <v/>
      </c>
      <c r="Q442" s="19">
        <f t="shared" ca="1" si="489"/>
        <v>1660000</v>
      </c>
      <c r="R442" s="19" t="str">
        <f t="shared" ca="1" si="490"/>
        <v xml:space="preserve"> </v>
      </c>
      <c r="S442" s="20"/>
    </row>
    <row r="443" spans="2:19" x14ac:dyDescent="0.2">
      <c r="B443" s="13" t="s">
        <v>499</v>
      </c>
      <c r="C443" s="40">
        <v>303091068</v>
      </c>
      <c r="D443" s="14">
        <v>995377702</v>
      </c>
      <c r="E443" s="14"/>
      <c r="F443" s="15" t="s">
        <v>75</v>
      </c>
      <c r="G443" s="15" t="s">
        <v>144</v>
      </c>
      <c r="H443" s="15" t="s">
        <v>520</v>
      </c>
      <c r="I443" s="15" t="s">
        <v>76</v>
      </c>
      <c r="J443" s="16">
        <v>45016</v>
      </c>
      <c r="K443" s="16">
        <f t="shared" si="484"/>
        <v>45046</v>
      </c>
      <c r="L443" s="21">
        <v>1625000</v>
      </c>
      <c r="M443" s="45">
        <f t="shared" ca="1" si="485"/>
        <v>56</v>
      </c>
      <c r="N443" s="18" t="str">
        <f t="shared" ca="1" si="486"/>
        <v>Муддати тугаган</v>
      </c>
      <c r="O443" s="19">
        <f t="shared" ca="1" si="487"/>
        <v>1625000</v>
      </c>
      <c r="P443" s="19">
        <f t="shared" ca="1" si="488"/>
        <v>1625000</v>
      </c>
      <c r="Q443" s="19" t="str">
        <f t="shared" ca="1" si="489"/>
        <v/>
      </c>
      <c r="R443" s="19" t="str">
        <f t="shared" ca="1" si="490"/>
        <v xml:space="preserve"> </v>
      </c>
      <c r="S443" s="20"/>
    </row>
    <row r="444" spans="2:19" x14ac:dyDescent="0.2">
      <c r="B444" s="13" t="s">
        <v>501</v>
      </c>
      <c r="C444" s="40">
        <v>308007774</v>
      </c>
      <c r="D444" s="14">
        <v>944282301</v>
      </c>
      <c r="E444" s="14"/>
      <c r="F444" s="15" t="s">
        <v>17</v>
      </c>
      <c r="G444" s="15" t="s">
        <v>18</v>
      </c>
      <c r="H444" s="15" t="s">
        <v>520</v>
      </c>
      <c r="I444" s="15" t="s">
        <v>19</v>
      </c>
      <c r="J444" s="16">
        <v>45042</v>
      </c>
      <c r="K444" s="16">
        <f t="shared" si="484"/>
        <v>45072</v>
      </c>
      <c r="L444" s="17">
        <v>5373800</v>
      </c>
      <c r="M444" s="45">
        <f t="shared" ca="1" si="485"/>
        <v>30</v>
      </c>
      <c r="N444" s="18" t="str">
        <f t="shared" ca="1" si="486"/>
        <v>Муддати тугаган</v>
      </c>
      <c r="O444" s="19">
        <f t="shared" ca="1" si="487"/>
        <v>5373800</v>
      </c>
      <c r="P444" s="19" t="str">
        <f t="shared" ca="1" si="488"/>
        <v/>
      </c>
      <c r="Q444" s="19" t="str">
        <f t="shared" ca="1" si="489"/>
        <v/>
      </c>
      <c r="R444" s="19" t="str">
        <f t="shared" ca="1" si="490"/>
        <v xml:space="preserve"> </v>
      </c>
      <c r="S444" s="20"/>
    </row>
    <row r="445" spans="2:19" x14ac:dyDescent="0.2">
      <c r="B445" s="24" t="s">
        <v>502</v>
      </c>
      <c r="C445" s="43">
        <v>202510918</v>
      </c>
      <c r="D445" s="25"/>
      <c r="E445" s="14"/>
      <c r="F445" s="26" t="s">
        <v>21</v>
      </c>
      <c r="G445" s="26" t="s">
        <v>142</v>
      </c>
      <c r="H445" s="26" t="s">
        <v>520</v>
      </c>
      <c r="I445" s="26" t="s">
        <v>73</v>
      </c>
      <c r="J445" s="27">
        <v>44432</v>
      </c>
      <c r="K445" s="27">
        <f t="shared" ref="K445:K446" si="491">IF(J445&gt;0,J445+30," ")</f>
        <v>44462</v>
      </c>
      <c r="L445" s="37">
        <v>200000</v>
      </c>
      <c r="M445" s="46">
        <f t="shared" ca="1" si="485"/>
        <v>640</v>
      </c>
      <c r="N445" s="57" t="str">
        <f t="shared" ref="N445:N446" ca="1" si="492">IF(M445=0," ",IF(M445&gt;=30,"Муддати тугаган"," "))</f>
        <v>Муддати тугаган</v>
      </c>
      <c r="O445" s="29">
        <f t="shared" ca="1" si="487"/>
        <v>200000</v>
      </c>
      <c r="P445" s="29" t="str">
        <f t="shared" ca="1" si="488"/>
        <v/>
      </c>
      <c r="Q445" s="29" t="str">
        <f t="shared" ca="1" si="489"/>
        <v/>
      </c>
      <c r="R445" s="29">
        <f t="shared" ca="1" si="490"/>
        <v>200000</v>
      </c>
      <c r="S445" s="20"/>
    </row>
    <row r="446" spans="2:19" x14ac:dyDescent="0.2">
      <c r="B446" s="33" t="s">
        <v>503</v>
      </c>
      <c r="C446" s="41">
        <v>200084563</v>
      </c>
      <c r="D446" s="14"/>
      <c r="E446" s="14"/>
      <c r="F446" s="15" t="s">
        <v>55</v>
      </c>
      <c r="G446" s="15" t="s">
        <v>182</v>
      </c>
      <c r="H446" s="15" t="s">
        <v>520</v>
      </c>
      <c r="I446" s="15" t="s">
        <v>60</v>
      </c>
      <c r="J446" s="16">
        <v>44716</v>
      </c>
      <c r="K446" s="16">
        <f t="shared" si="491"/>
        <v>44746</v>
      </c>
      <c r="L446" s="17">
        <v>27360000</v>
      </c>
      <c r="M446" s="45">
        <f t="shared" ref="M446" ca="1" si="493">IF(J446&gt;0,(+$B$1-J446),)</f>
        <v>356</v>
      </c>
      <c r="N446" s="18" t="str">
        <f t="shared" ca="1" si="492"/>
        <v>Муддати тугаган</v>
      </c>
      <c r="O446" s="19">
        <f t="shared" ref="O446" ca="1" si="494">IF(M446&gt;=30,L446, " ")</f>
        <v>27360000</v>
      </c>
      <c r="P446" s="19" t="str">
        <f t="shared" ref="P446" ca="1" si="495">IF(M446&gt;60,"",(IF(M446&gt;30,O446, "")))</f>
        <v/>
      </c>
      <c r="Q446" s="19" t="str">
        <f t="shared" ref="Q446" ca="1" si="496">IF(M446&gt;90,"",(IF(M446&gt;60,O446, "")))</f>
        <v/>
      </c>
      <c r="R446" s="19">
        <f t="shared" ref="R446" ca="1" si="497">IF(M446&gt;90,L446, " ")</f>
        <v>27360000</v>
      </c>
      <c r="S446" s="20"/>
    </row>
    <row r="447" spans="2:19" x14ac:dyDescent="0.2">
      <c r="B447" s="13" t="s">
        <v>610</v>
      </c>
      <c r="C447" s="40">
        <v>200298114</v>
      </c>
      <c r="D447" s="14">
        <v>944362961</v>
      </c>
      <c r="E447" s="14"/>
      <c r="F447" s="15" t="s">
        <v>30</v>
      </c>
      <c r="G447" s="15" t="s">
        <v>289</v>
      </c>
      <c r="H447" s="15" t="s">
        <v>520</v>
      </c>
      <c r="I447" s="15" t="s">
        <v>551</v>
      </c>
      <c r="J447" s="16">
        <v>45035</v>
      </c>
      <c r="K447" s="16">
        <f t="shared" ref="K447:K448" si="498">IF(J447&gt;0,J447+30," ")</f>
        <v>45065</v>
      </c>
      <c r="L447" s="17">
        <v>14022500</v>
      </c>
      <c r="M447" s="45">
        <f t="shared" ref="M447:M448" ca="1" si="499">IF(J447&gt;0,(+$B$1-J447),)</f>
        <v>37</v>
      </c>
      <c r="N447" s="18" t="str">
        <f t="shared" ref="N447:N448" ca="1" si="500">IF(M447=0," ",IF(M447&gt;=30,"Муддати тугаган"," "))</f>
        <v>Муддати тугаган</v>
      </c>
      <c r="O447" s="19">
        <f t="shared" ref="O447:O448" ca="1" si="501">IF(M447&gt;=30,L447, " ")</f>
        <v>14022500</v>
      </c>
      <c r="P447" s="19">
        <f t="shared" ref="P447:P448" ca="1" si="502">IF(M447&gt;60,"",(IF(M447&gt;30,O447, "")))</f>
        <v>14022500</v>
      </c>
      <c r="Q447" s="19" t="str">
        <f t="shared" ref="Q447:Q448" ca="1" si="503">IF(M447&gt;90,"",(IF(M447&gt;60,O447, "")))</f>
        <v/>
      </c>
      <c r="R447" s="19" t="str">
        <f t="shared" ref="R447:R448" ca="1" si="504">IF(M447&gt;90,L447, " ")</f>
        <v xml:space="preserve"> </v>
      </c>
      <c r="S447" s="20"/>
    </row>
    <row r="448" spans="2:19" x14ac:dyDescent="0.2">
      <c r="B448" s="13" t="s">
        <v>610</v>
      </c>
      <c r="C448" s="40">
        <v>200298114</v>
      </c>
      <c r="D448" s="14">
        <v>944362961</v>
      </c>
      <c r="E448" s="14"/>
      <c r="F448" s="15" t="s">
        <v>30</v>
      </c>
      <c r="G448" s="15" t="s">
        <v>289</v>
      </c>
      <c r="H448" s="15" t="s">
        <v>520</v>
      </c>
      <c r="I448" s="15" t="s">
        <v>551</v>
      </c>
      <c r="J448" s="16">
        <v>45035</v>
      </c>
      <c r="K448" s="16">
        <f t="shared" si="498"/>
        <v>45065</v>
      </c>
      <c r="L448" s="17">
        <v>23502500</v>
      </c>
      <c r="M448" s="45">
        <f t="shared" ca="1" si="499"/>
        <v>37</v>
      </c>
      <c r="N448" s="18" t="str">
        <f t="shared" ca="1" si="500"/>
        <v>Муддати тугаган</v>
      </c>
      <c r="O448" s="19">
        <f t="shared" ca="1" si="501"/>
        <v>23502500</v>
      </c>
      <c r="P448" s="19">
        <f t="shared" ca="1" si="502"/>
        <v>23502500</v>
      </c>
      <c r="Q448" s="19" t="str">
        <f t="shared" ca="1" si="503"/>
        <v/>
      </c>
      <c r="R448" s="19" t="str">
        <f t="shared" ca="1" si="504"/>
        <v xml:space="preserve"> </v>
      </c>
      <c r="S448" s="20"/>
    </row>
    <row r="449" spans="5:12" x14ac:dyDescent="0.2">
      <c r="E449" s="12"/>
    </row>
    <row r="450" spans="5:12" ht="13.8" x14ac:dyDescent="0.2">
      <c r="E450" s="12"/>
      <c r="L450" s="74">
        <f>SUBTOTAL(9,Таблица1[Сумма долга])</f>
        <v>2041250205.48</v>
      </c>
    </row>
  </sheetData>
  <dataValidations count="1">
    <dataValidation type="list" allowBlank="1" showInputMessage="1" showErrorMessage="1" sqref="I3:I448">
      <formula1>$I$3:$I$448</formula1>
    </dataValidation>
  </dataValidations>
  <pageMargins left="0.19685039370078741" right="0.19685039370078741" top="0.94488188976377963" bottom="0.94488188976377963" header="0.31496062992125984" footer="0.31496062992125984"/>
  <pageSetup paperSize="9" scale="10" orientation="landscape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P35"/>
  <sheetViews>
    <sheetView zoomScale="80" zoomScaleNormal="80" workbookViewId="0">
      <selection activeCell="E34" sqref="B1:E34"/>
    </sheetView>
  </sheetViews>
  <sheetFormatPr defaultRowHeight="10.199999999999999" x14ac:dyDescent="0.2"/>
  <cols>
    <col min="1" max="1" width="9.140625" style="1"/>
    <col min="2" max="2" width="30.140625" style="1" customWidth="1"/>
    <col min="3" max="3" width="20.140625" style="1" customWidth="1"/>
    <col min="4" max="4" width="16.28515625" style="1" customWidth="1"/>
    <col min="5" max="5" width="17.7109375" style="1" customWidth="1"/>
    <col min="6" max="6" width="19.85546875" style="1" customWidth="1"/>
    <col min="7" max="10" width="9.140625" style="1"/>
    <col min="11" max="11" width="8.5703125" style="1" customWidth="1"/>
    <col min="12" max="16384" width="9.140625" style="1"/>
  </cols>
  <sheetData>
    <row r="1" spans="2:16" ht="16.5" customHeight="1" x14ac:dyDescent="0.2"/>
    <row r="2" spans="2:16" ht="16.2" customHeight="1" x14ac:dyDescent="0.35">
      <c r="B2" s="56">
        <f ca="1">TODAY()-1</f>
        <v>45072</v>
      </c>
      <c r="C2" s="67" t="s">
        <v>504</v>
      </c>
    </row>
    <row r="3" spans="2:16" ht="10.8" customHeight="1" x14ac:dyDescent="0.2">
      <c r="B3" s="2"/>
      <c r="C3" s="3"/>
      <c r="D3" s="3"/>
      <c r="E3" s="3"/>
    </row>
    <row r="4" spans="2:16" s="4" customFormat="1" ht="28.05" customHeight="1" x14ac:dyDescent="0.2">
      <c r="B4" s="51" t="s">
        <v>3</v>
      </c>
      <c r="C4" s="52" t="s">
        <v>27</v>
      </c>
      <c r="D4" s="52" t="s">
        <v>28</v>
      </c>
      <c r="E4" s="53" t="s">
        <v>29</v>
      </c>
      <c r="K4" s="1"/>
      <c r="L4" s="1"/>
      <c r="M4" s="1"/>
      <c r="N4" s="1"/>
      <c r="O4" s="1"/>
      <c r="P4" s="1"/>
    </row>
    <row r="5" spans="2:16" ht="15" customHeight="1" x14ac:dyDescent="0.2">
      <c r="B5" s="48" t="s">
        <v>30</v>
      </c>
      <c r="C5" s="6">
        <f>SUMIFS(Таблица1[Сумма долга],Таблица1[Область],Общие!B5)/2</f>
        <v>63844720</v>
      </c>
      <c r="D5" s="6">
        <f ca="1">SUMIFS(Таблица1[Просрочка],Таблица1[Область],Общие!B5)</f>
        <v>127689440</v>
      </c>
      <c r="E5" s="49">
        <f t="shared" ref="E5:E30" ca="1" si="0">D5/C5</f>
        <v>2</v>
      </c>
      <c r="I5" s="5"/>
    </row>
    <row r="6" spans="2:16" ht="15" customHeight="1" x14ac:dyDescent="0.2">
      <c r="B6" s="68" t="s">
        <v>521</v>
      </c>
      <c r="C6" s="62">
        <f>SUMIFS(Таблица1[Сумма долга],Таблица1[Область],Общие!B6)/2</f>
        <v>8188750</v>
      </c>
      <c r="D6" s="62">
        <f ca="1">SUMIFS(Таблица1[Просрочка],Таблица1[Область],Общие!B6)</f>
        <v>16377500</v>
      </c>
      <c r="E6" s="49">
        <f ca="1">D6/C6</f>
        <v>2</v>
      </c>
      <c r="I6" s="5"/>
    </row>
    <row r="7" spans="2:16" ht="15" customHeight="1" x14ac:dyDescent="0.2">
      <c r="B7" s="48" t="s">
        <v>36</v>
      </c>
      <c r="C7" s="6">
        <f>SUMIFS(Таблица1[Сумма долга],Таблица1[Область],Общие!B7)/2</f>
        <v>11474550</v>
      </c>
      <c r="D7" s="6">
        <f ca="1">SUMIFS(Таблица1[Просрочка],Таблица1[Область],Общие!B7)</f>
        <v>22949100</v>
      </c>
      <c r="E7" s="49">
        <f t="shared" ca="1" si="0"/>
        <v>2</v>
      </c>
    </row>
    <row r="8" spans="2:16" ht="15" customHeight="1" x14ac:dyDescent="0.2">
      <c r="B8" s="68" t="s">
        <v>522</v>
      </c>
      <c r="C8" s="62">
        <f>SUMIFS(Таблица1[Сумма долга],Таблица1[Область],Общие!B8)/2</f>
        <v>10040200</v>
      </c>
      <c r="D8" s="62">
        <f ca="1">SUMIFS(Таблица1[Просрочка],Таблица1[Область],Общие!B8)</f>
        <v>20080400</v>
      </c>
      <c r="E8" s="49">
        <f ca="1">D8/C8</f>
        <v>2</v>
      </c>
    </row>
    <row r="9" spans="2:16" ht="15" customHeight="1" x14ac:dyDescent="0.2">
      <c r="B9" s="48" t="s">
        <v>15</v>
      </c>
      <c r="C9" s="6">
        <f>SUMIFS(Таблица1[Сумма долга],Таблица1[Область],Общие!B9)/2</f>
        <v>44562316</v>
      </c>
      <c r="D9" s="6">
        <f ca="1">SUMIFS(Таблица1[Просрочка],Таблица1[Область],Общие!B9)</f>
        <v>89124632</v>
      </c>
      <c r="E9" s="49">
        <f t="shared" ca="1" si="0"/>
        <v>2</v>
      </c>
    </row>
    <row r="10" spans="2:16" ht="15" hidden="1" customHeight="1" x14ac:dyDescent="0.2">
      <c r="B10" s="48" t="s">
        <v>527</v>
      </c>
      <c r="C10" s="6">
        <f>SUMIFS(Таблица1[Сумма долга],Таблица1[Область],Общие!B10)/2</f>
        <v>0</v>
      </c>
      <c r="D10" s="6">
        <f>SUMIFS(Таблица1[Просрочка],Таблица1[Область],Общие!B10)</f>
        <v>0</v>
      </c>
      <c r="E10" s="49" t="e">
        <f>D10/C10</f>
        <v>#DIV/0!</v>
      </c>
    </row>
    <row r="11" spans="2:16" ht="15" customHeight="1" x14ac:dyDescent="0.2">
      <c r="B11" s="48" t="s">
        <v>43</v>
      </c>
      <c r="C11" s="6">
        <f>SUMIFS(Таблица1[Сумма долга],Таблица1[Область],Общие!B11)/2</f>
        <v>2945372.5</v>
      </c>
      <c r="D11" s="6">
        <f ca="1">SUMIFS(Таблица1[Просрочка],Таблица1[Область],Общие!B11)</f>
        <v>5890745</v>
      </c>
      <c r="E11" s="49">
        <f t="shared" ca="1" si="0"/>
        <v>2</v>
      </c>
    </row>
    <row r="12" spans="2:16" ht="15" customHeight="1" x14ac:dyDescent="0.2">
      <c r="B12" s="68" t="s">
        <v>523</v>
      </c>
      <c r="C12" s="62">
        <f>SUMIFS(Таблица1[Сумма долга],Таблица1[Область],Общие!B12)/2</f>
        <v>3511500</v>
      </c>
      <c r="D12" s="62">
        <f ca="1">SUMIFS(Таблица1[Просрочка],Таблица1[Область],Общие!B12)</f>
        <v>7023000</v>
      </c>
      <c r="E12" s="49">
        <f ca="1">D12/C12</f>
        <v>2</v>
      </c>
    </row>
    <row r="13" spans="2:16" ht="15" customHeight="1" x14ac:dyDescent="0.2">
      <c r="B13" s="48" t="s">
        <v>45</v>
      </c>
      <c r="C13" s="6">
        <f>SUMIFS(Таблица1[Сумма долга],Таблица1[Область],Общие!B13)/2</f>
        <v>67350285</v>
      </c>
      <c r="D13" s="6">
        <f ca="1">SUMIFS(Таблица1[Просрочка],Таблица1[Область],Общие!B13)</f>
        <v>134700570</v>
      </c>
      <c r="E13" s="49">
        <f t="shared" ca="1" si="0"/>
        <v>2</v>
      </c>
    </row>
    <row r="14" spans="2:16" ht="15" hidden="1" customHeight="1" x14ac:dyDescent="0.2">
      <c r="B14" s="48" t="s">
        <v>528</v>
      </c>
      <c r="C14" s="6">
        <f>SUMIFS(Таблица1[Сумма долга],Таблица1[Область],Общие!B14)/2</f>
        <v>0</v>
      </c>
      <c r="D14" s="6">
        <f>SUMIFS(Таблица1[Просрочка],Таблица1[Область],Общие!B14)</f>
        <v>0</v>
      </c>
      <c r="E14" s="49" t="e">
        <f>D14/C14</f>
        <v>#DIV/0!</v>
      </c>
    </row>
    <row r="15" spans="2:16" ht="15" customHeight="1" x14ac:dyDescent="0.2">
      <c r="B15" s="48" t="s">
        <v>50</v>
      </c>
      <c r="C15" s="6">
        <f>SUMIFS(Таблица1[Сумма долга],Таблица1[Область],Общие!B15)/2</f>
        <v>10840065</v>
      </c>
      <c r="D15" s="6">
        <f ca="1">SUMIFS(Таблица1[Просрочка],Таблица1[Область],Общие!B15)</f>
        <v>21680130</v>
      </c>
      <c r="E15" s="49">
        <f t="shared" ca="1" si="0"/>
        <v>2</v>
      </c>
    </row>
    <row r="16" spans="2:16" ht="15" hidden="1" customHeight="1" x14ac:dyDescent="0.2">
      <c r="B16" s="48" t="s">
        <v>529</v>
      </c>
      <c r="C16" s="6">
        <f>SUMIFS(Таблица1[Сумма долга],Таблица1[Область],Общие!B16)/2</f>
        <v>8000</v>
      </c>
      <c r="D16" s="6">
        <f ca="1">SUMIFS(Таблица1[Просрочка],Таблица1[Область],Общие!B16)</f>
        <v>16000</v>
      </c>
      <c r="E16" s="49">
        <f ca="1">D16/C16</f>
        <v>2</v>
      </c>
    </row>
    <row r="17" spans="2:5" ht="15" customHeight="1" x14ac:dyDescent="0.2">
      <c r="B17" s="48" t="s">
        <v>55</v>
      </c>
      <c r="C17" s="6">
        <f>SUMIFS(Таблица1[Сумма долга],Таблица1[Область],Общие!B17)/2</f>
        <v>144782792.74000001</v>
      </c>
      <c r="D17" s="6">
        <f ca="1">SUMIFS(Таблица1[Просрочка],Таблица1[Область],Общие!B17)</f>
        <v>289565585.48000002</v>
      </c>
      <c r="E17" s="49">
        <f t="shared" ca="1" si="0"/>
        <v>2</v>
      </c>
    </row>
    <row r="18" spans="2:5" ht="15" hidden="1" customHeight="1" x14ac:dyDescent="0.2">
      <c r="B18" s="48" t="s">
        <v>530</v>
      </c>
      <c r="C18" s="6">
        <f>SUMIFS(Таблица1[Сумма долга],Таблица1[Область],Общие!B18)/2</f>
        <v>0</v>
      </c>
      <c r="D18" s="6">
        <f>SUMIFS(Таблица1[Просрочка],Таблица1[Область],Общие!B18)</f>
        <v>0</v>
      </c>
      <c r="E18" s="49" t="e">
        <f>D18/C18</f>
        <v>#DIV/0!</v>
      </c>
    </row>
    <row r="19" spans="2:5" ht="15" customHeight="1" x14ac:dyDescent="0.2">
      <c r="B19" s="48" t="s">
        <v>63</v>
      </c>
      <c r="C19" s="6">
        <f>SUMIFS(Таблица1[Сумма долга],Таблица1[Область],Общие!B19)/2</f>
        <v>158259717.5</v>
      </c>
      <c r="D19" s="6">
        <f ca="1">SUMIFS(Таблица1[Просрочка],Таблица1[Область],Общие!B19)</f>
        <v>316519435</v>
      </c>
      <c r="E19" s="49">
        <f ca="1">D19/C19</f>
        <v>2</v>
      </c>
    </row>
    <row r="20" spans="2:5" ht="15" customHeight="1" x14ac:dyDescent="0.2">
      <c r="B20" s="48" t="s">
        <v>64</v>
      </c>
      <c r="C20" s="6">
        <f>SUMIFS(Таблица1[Сумма долга],Таблица1[Область],Общие!B20)/2</f>
        <v>89616983.5</v>
      </c>
      <c r="D20" s="6">
        <f ca="1">SUMIFS(Таблица1[Просрочка],Таблица1[Область],Общие!B20)</f>
        <v>179233967</v>
      </c>
      <c r="E20" s="49">
        <f t="shared" ca="1" si="0"/>
        <v>2</v>
      </c>
    </row>
    <row r="21" spans="2:5" ht="15" customHeight="1" x14ac:dyDescent="0.2">
      <c r="B21" s="68" t="s">
        <v>524</v>
      </c>
      <c r="C21" s="62">
        <f>SUMIFS(Таблица1[Сумма долга],Таблица1[Область],Общие!B21)/2</f>
        <v>100600350</v>
      </c>
      <c r="D21" s="62">
        <f ca="1">SUMIFS(Таблица1[Просрочка],Таблица1[Область],Общие!B21)</f>
        <v>201200700</v>
      </c>
      <c r="E21" s="49">
        <f ca="1">D21/C21</f>
        <v>2</v>
      </c>
    </row>
    <row r="22" spans="2:5" ht="15" customHeight="1" x14ac:dyDescent="0.2">
      <c r="B22" s="48" t="s">
        <v>21</v>
      </c>
      <c r="C22" s="6">
        <f>SUMIFS(Таблица1[Сумма долга],Таблица1[Область],Общие!B22)/2</f>
        <v>58207532.5</v>
      </c>
      <c r="D22" s="6">
        <f ca="1">SUMIFS(Таблица1[Просрочка],Таблица1[Область],Общие!B22)</f>
        <v>116415065</v>
      </c>
      <c r="E22" s="49">
        <f t="shared" ca="1" si="0"/>
        <v>2</v>
      </c>
    </row>
    <row r="23" spans="2:5" ht="15" customHeight="1" x14ac:dyDescent="0.2">
      <c r="B23" s="68" t="s">
        <v>525</v>
      </c>
      <c r="C23" s="62">
        <f>SUMIFS(Таблица1[Сумма долга],Таблица1[Область],Общие!B23)/2</f>
        <v>1222000</v>
      </c>
      <c r="D23" s="62">
        <f ca="1">SUMIFS(Таблица1[Просрочка],Таблица1[Область],Общие!B23)</f>
        <v>2444000</v>
      </c>
      <c r="E23" s="49">
        <f ca="1">D23/C23</f>
        <v>2</v>
      </c>
    </row>
    <row r="24" spans="2:5" ht="15" customHeight="1" x14ac:dyDescent="0.2">
      <c r="B24" s="48" t="s">
        <v>75</v>
      </c>
      <c r="C24" s="6">
        <f>SUMIFS(Таблица1[Сумма долга],Таблица1[Область],Общие!B24)/2</f>
        <v>33959025</v>
      </c>
      <c r="D24" s="6">
        <f ca="1">SUMIFS(Таблица1[Просрочка],Таблица1[Область],Общие!B24)</f>
        <v>67918050</v>
      </c>
      <c r="E24" s="50">
        <f t="shared" ca="1" si="0"/>
        <v>2</v>
      </c>
    </row>
    <row r="25" spans="2:5" ht="15" hidden="1" customHeight="1" x14ac:dyDescent="0.2">
      <c r="B25" s="48" t="s">
        <v>531</v>
      </c>
      <c r="C25" s="6">
        <f>SUMIFS(Таблица1[Сумма долга],Таблица1[Область],Общие!B25)/2</f>
        <v>0</v>
      </c>
      <c r="D25" s="6">
        <f>SUMIFS(Таблица1[Просрочка],Таблица1[Область],Общие!B25)</f>
        <v>0</v>
      </c>
      <c r="E25" s="50" t="e">
        <f>D25/C25</f>
        <v>#DIV/0!</v>
      </c>
    </row>
    <row r="26" spans="2:5" ht="15" customHeight="1" x14ac:dyDescent="0.2">
      <c r="B26" s="48" t="s">
        <v>13</v>
      </c>
      <c r="C26" s="6">
        <f>SUMIFS(Таблица1[Сумма долга],Таблица1[Область],Общие!B26)/2</f>
        <v>53120165.5</v>
      </c>
      <c r="D26" s="6">
        <f ca="1">SUMIFS(Таблица1[Просрочка],Таблица1[Область],Общие!B26)</f>
        <v>106240331</v>
      </c>
      <c r="E26" s="50">
        <f t="shared" ca="1" si="0"/>
        <v>2</v>
      </c>
    </row>
    <row r="27" spans="2:5" ht="15" customHeight="1" x14ac:dyDescent="0.2">
      <c r="B27" s="68" t="s">
        <v>526</v>
      </c>
      <c r="C27" s="62">
        <f>SUMIFS(Таблица1[Сумма долга],Таблица1[Область],Общие!B27)/2</f>
        <v>3146020</v>
      </c>
      <c r="D27" s="62">
        <f ca="1">SUMIFS(Таблица1[Просрочка],Таблица1[Область],Общие!B27)</f>
        <v>6292040</v>
      </c>
      <c r="E27" s="50">
        <f ca="1">D27/C27</f>
        <v>2</v>
      </c>
    </row>
    <row r="28" spans="2:5" ht="15" customHeight="1" x14ac:dyDescent="0.2">
      <c r="B28" s="48" t="s">
        <v>24</v>
      </c>
      <c r="C28" s="6">
        <f>SUMIFS(Таблица1[Сумма долга],Таблица1[Область],Общие!B28)/2</f>
        <v>78417635</v>
      </c>
      <c r="D28" s="6">
        <f ca="1">SUMIFS(Таблица1[Просрочка],Таблица1[Область],Общие!B28)</f>
        <v>156835270</v>
      </c>
      <c r="E28" s="49">
        <f t="shared" ca="1" si="0"/>
        <v>2</v>
      </c>
    </row>
    <row r="29" spans="2:5" ht="15" hidden="1" customHeight="1" x14ac:dyDescent="0.2">
      <c r="B29" s="48" t="s">
        <v>532</v>
      </c>
      <c r="C29" s="54">
        <f>SUMIFS(Таблица1[Сумма долга],Таблица1[Область],Общие!B29)/2</f>
        <v>0</v>
      </c>
      <c r="D29" s="54">
        <f>SUMIFS(Таблица1[Просрочка],Таблица1[Область],Общие!B29)</f>
        <v>0</v>
      </c>
      <c r="E29" s="55" t="e">
        <f>D29/C29</f>
        <v>#DIV/0!</v>
      </c>
    </row>
    <row r="30" spans="2:5" ht="15" customHeight="1" thickBot="1" x14ac:dyDescent="0.25">
      <c r="B30" s="69" t="s">
        <v>17</v>
      </c>
      <c r="C30" s="61">
        <f>SUMIFS(Таблица1[Сумма долга],Таблица1[Область],Общие!B30)/2</f>
        <v>76527122.5</v>
      </c>
      <c r="D30" s="61">
        <f ca="1">SUMIFS(Таблица1[Просрочка],Таблица1[Область],Общие!B30)</f>
        <v>153054245</v>
      </c>
      <c r="E30" s="70">
        <f t="shared" ca="1" si="0"/>
        <v>2</v>
      </c>
    </row>
    <row r="31" spans="2:5" ht="15" hidden="1" customHeight="1" x14ac:dyDescent="0.2">
      <c r="B31" s="71" t="s">
        <v>533</v>
      </c>
      <c r="C31" s="72">
        <f>SUMIFS(Таблица1[Сумма долга],Таблица1[Область],Общие!B31)/2</f>
        <v>0</v>
      </c>
      <c r="D31" s="72">
        <f>SUMIFS(Таблица1[Просрочка],Таблица1[Область],Общие!B31)</f>
        <v>0</v>
      </c>
      <c r="E31" s="73" t="e">
        <f>D31/C31</f>
        <v>#DIV/0!</v>
      </c>
    </row>
    <row r="32" spans="2:5" ht="15" customHeight="1" x14ac:dyDescent="0.2">
      <c r="B32" s="64" t="s">
        <v>534</v>
      </c>
      <c r="C32" s="58">
        <f>C5+C7+C9+C11+C13+C15+C17+C19+C20+C22+C24+C26+C28+C30</f>
        <v>893908282.74000001</v>
      </c>
      <c r="D32" s="58">
        <f ca="1">D5+D7+D9+D11+D13+D15+D17+D19+D20+D22+D24+D26+D28+D30</f>
        <v>1787816565.48</v>
      </c>
      <c r="E32" s="47">
        <f ca="1">D32/C32</f>
        <v>2</v>
      </c>
    </row>
    <row r="33" spans="2:5" ht="15" customHeight="1" x14ac:dyDescent="0.2">
      <c r="B33" s="65" t="s">
        <v>508</v>
      </c>
      <c r="C33" s="63">
        <f>C6+C8+C10+C12+C14+C16+C18+C21+C23+C25+C27+C29+C31</f>
        <v>126716820</v>
      </c>
      <c r="D33" s="63">
        <f ca="1">D6+D8+D10+D12+D14+D16+D18+D21+D23+D25+D27+D29+D31</f>
        <v>253433640</v>
      </c>
      <c r="E33" s="47">
        <f ca="1">D33/C33</f>
        <v>2</v>
      </c>
    </row>
    <row r="34" spans="2:5" ht="15" customHeight="1" x14ac:dyDescent="0.2">
      <c r="B34" s="66" t="s">
        <v>535</v>
      </c>
      <c r="C34" s="60">
        <f>SUM(C32:C33)</f>
        <v>1020625102.74</v>
      </c>
      <c r="D34" s="60">
        <f ca="1">SUM(D32:D33)</f>
        <v>2041250205.48</v>
      </c>
      <c r="E34" s="47">
        <f ca="1">D34/C34</f>
        <v>2</v>
      </c>
    </row>
    <row r="35" spans="2:5" ht="15" customHeight="1" x14ac:dyDescent="0.2">
      <c r="C35" s="7"/>
    </row>
  </sheetData>
  <conditionalFormatting sqref="E5:E34">
    <cfRule type="cellIs" dxfId="2" priority="1" operator="greaterThan">
      <formula>0.7099</formula>
    </cfRule>
    <cfRule type="cellIs" dxfId="1" priority="2" operator="greaterThan">
      <formula>0.507</formula>
    </cfRule>
  </conditionalFormatting>
  <conditionalFormatting sqref="E5:E31">
    <cfRule type="cellIs" dxfId="0" priority="3" operator="lessThan">
      <formula>0.5</formula>
    </cfRule>
  </conditionalFormatting>
  <pageMargins left="0.7" right="0.7" top="0.75" bottom="0.75" header="0.3" footer="0.3"/>
  <pageSetup paperSize="9" fitToWidth="0" fitToHeight="0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База</vt:lpstr>
      <vt:lpstr>Общие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Сардор</dc:creator>
  <cp:lastModifiedBy>Сардор</cp:lastModifiedBy>
  <cp:lastPrinted>2023-03-15T13:26:02Z</cp:lastPrinted>
  <dcterms:created xsi:type="dcterms:W3CDTF">2023-01-05T11:37:51Z</dcterms:created>
  <dcterms:modified xsi:type="dcterms:W3CDTF">2023-05-27T10:22:32Z</dcterms:modified>
</cp:coreProperties>
</file>